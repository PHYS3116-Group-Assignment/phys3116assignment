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erez/Documents/2026/Term 3/Astrophysics/GitHub/phys3116assignment/"/>
    </mc:Choice>
  </mc:AlternateContent>
  <xr:revisionPtr revIDLastSave="0" documentId="13_ncr:1_{2F75BEFC-518E-B74E-B4E3-1D9257E3C5EE}" xr6:coauthVersionLast="47" xr6:coauthVersionMax="47" xr10:uidLastSave="{00000000-0000-0000-0000-000000000000}"/>
  <bookViews>
    <workbookView xWindow="380" yWindow="500" windowWidth="28040" windowHeight="16940" xr2:uid="{75C62DBF-A087-234F-B939-43CA23AF8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3" i="1" l="1"/>
</calcChain>
</file>

<file path=xl/sharedStrings.xml><?xml version="1.0" encoding="utf-8"?>
<sst xmlns="http://schemas.openxmlformats.org/spreadsheetml/2006/main" count="792" uniqueCount="440">
  <si>
    <t>Object</t>
  </si>
  <si>
    <t>Mstar</t>
  </si>
  <si>
    <t>rh</t>
  </si>
  <si>
    <t>C5</t>
  </si>
  <si>
    <t>Age</t>
  </si>
  <si>
    <t>FeH</t>
  </si>
  <si>
    <t>NGC104</t>
  </si>
  <si>
    <t>NGC288</t>
  </si>
  <si>
    <t>NGC362</t>
  </si>
  <si>
    <t>NGC1261</t>
  </si>
  <si>
    <t>NGC1851</t>
  </si>
  <si>
    <t>NGC1904</t>
  </si>
  <si>
    <t>NGC2298</t>
  </si>
  <si>
    <t>NGC2808</t>
  </si>
  <si>
    <t>NGC3201</t>
  </si>
  <si>
    <t>NGC4590</t>
  </si>
  <si>
    <t>NGC4833</t>
  </si>
  <si>
    <t>NGC5024</t>
  </si>
  <si>
    <t>NGC5053</t>
  </si>
  <si>
    <t>NGC5272</t>
  </si>
  <si>
    <t>NGC5286</t>
  </si>
  <si>
    <t>NGC5466</t>
  </si>
  <si>
    <t>NGC5897</t>
  </si>
  <si>
    <t>NGC5904</t>
  </si>
  <si>
    <t>NGC5927</t>
  </si>
  <si>
    <t>NGC5986</t>
  </si>
  <si>
    <t>NGC6093</t>
  </si>
  <si>
    <t>NGC6101</t>
  </si>
  <si>
    <t>NGC6121</t>
  </si>
  <si>
    <t>NGC6139</t>
  </si>
  <si>
    <t>NGC6144</t>
  </si>
  <si>
    <t>NGC6171</t>
  </si>
  <si>
    <t>NGC6205</t>
  </si>
  <si>
    <t>NGC6218</t>
  </si>
  <si>
    <t>NGC6254</t>
  </si>
  <si>
    <t>NGC6304</t>
  </si>
  <si>
    <t>NGC6341</t>
  </si>
  <si>
    <t>NGC6352</t>
  </si>
  <si>
    <t>NGC6362</t>
  </si>
  <si>
    <t>NGC6366</t>
  </si>
  <si>
    <t>NGC6388</t>
  </si>
  <si>
    <t>NGC6397</t>
  </si>
  <si>
    <t>NGC6441</t>
  </si>
  <si>
    <t>NGC6496</t>
  </si>
  <si>
    <t>NGC6535</t>
  </si>
  <si>
    <t>NGC6541</t>
  </si>
  <si>
    <t>NGC6584</t>
  </si>
  <si>
    <t>NGC6624</t>
  </si>
  <si>
    <t>NGC6637</t>
  </si>
  <si>
    <t>NGC6652</t>
  </si>
  <si>
    <t>NGC6656</t>
  </si>
  <si>
    <t>NGC6681</t>
  </si>
  <si>
    <t>NGC6715</t>
  </si>
  <si>
    <t>NGC6717</t>
  </si>
  <si>
    <t>NGC6723</t>
  </si>
  <si>
    <t>NGC6752</t>
  </si>
  <si>
    <t>NGC6779</t>
  </si>
  <si>
    <t>NGC6809</t>
  </si>
  <si>
    <t>NGC6838</t>
  </si>
  <si>
    <t>NGC6934</t>
  </si>
  <si>
    <t>NGC6981</t>
  </si>
  <si>
    <t>NGC7078</t>
  </si>
  <si>
    <t>NGC7089</t>
  </si>
  <si>
    <t>NGC7099</t>
  </si>
  <si>
    <t>Ruprecht106</t>
  </si>
  <si>
    <t>Terzan7</t>
  </si>
  <si>
    <t>Palomar12</t>
  </si>
  <si>
    <t>Age_err</t>
  </si>
  <si>
    <t>Method</t>
  </si>
  <si>
    <t>Figs</t>
  </si>
  <si>
    <t>Range</t>
  </si>
  <si>
    <t>HBtype</t>
  </si>
  <si>
    <t>R_G</t>
  </si>
  <si>
    <t>M_V</t>
  </si>
  <si>
    <t>v_e0</t>
  </si>
  <si>
    <t>log_sigma_0</t>
  </si>
  <si>
    <t>V</t>
  </si>
  <si>
    <t>11.50‚Äì11.75</t>
  </si>
  <si>
    <t>H</t>
  </si>
  <si>
    <t>10.75‚Äì11.00</t>
  </si>
  <si>
    <t>10.75‚Äì11.25</t>
  </si>
  <si>
    <t>11.00‚Äì11.25</t>
  </si>
  <si>
    <t>A</t>
  </si>
  <si>
    <t>11.25‚Äì11.75</t>
  </si>
  <si>
    <t>12.25‚Äì12.50</t>
  </si>
  <si>
    <t>11.75‚Äì12.25</t>
  </si>
  <si>
    <t>10.50‚Äì10.75</t>
  </si>
  <si>
    <t>11.25‚Äì11.50</t>
  </si>
  <si>
    <t>20-22</t>
  </si>
  <si>
    <t>24-26</t>
  </si>
  <si>
    <t>12.75‚Äì13.25</t>
  </si>
  <si>
    <t>10.50‚Äì11.00</t>
  </si>
  <si>
    <t>12.25‚Äì12.75</t>
  </si>
  <si>
    <t>30-32</t>
  </si>
  <si>
    <t>11.50‚Äì12.00</t>
  </si>
  <si>
    <t>12.50‚Äì12.75</t>
  </si>
  <si>
    <t>12.75‚Äì13.00</t>
  </si>
  <si>
    <t>v_r</t>
  </si>
  <si>
    <t>v_r_e</t>
  </si>
  <si>
    <t>v_LSR</t>
  </si>
  <si>
    <t>sig_v</t>
  </si>
  <si>
    <t>sig_v_e</t>
  </si>
  <si>
    <t>c</t>
  </si>
  <si>
    <t>r_c</t>
  </si>
  <si>
    <t>r_h</t>
  </si>
  <si>
    <t>mu_V</t>
  </si>
  <si>
    <t>rho_0</t>
  </si>
  <si>
    <t>lg_tc</t>
  </si>
  <si>
    <t>lg_th</t>
  </si>
  <si>
    <t>NA</t>
  </si>
  <si>
    <t>RA</t>
  </si>
  <si>
    <t>DEC</t>
  </si>
  <si>
    <t>L</t>
  </si>
  <si>
    <t>B</t>
  </si>
  <si>
    <t>R_Sun</t>
  </si>
  <si>
    <t>R_gc</t>
  </si>
  <si>
    <t>X</t>
  </si>
  <si>
    <t>Y</t>
  </si>
  <si>
    <t>Z</t>
  </si>
  <si>
    <t>-72:04:52.6</t>
  </si>
  <si>
    <t>-26:34:57.4</t>
  </si>
  <si>
    <t>-70:50:55.6</t>
  </si>
  <si>
    <t>-03:15:10</t>
  </si>
  <si>
    <t>-55:12:58.4</t>
  </si>
  <si>
    <t>+79:34:51.8</t>
  </si>
  <si>
    <t>-49:36:55</t>
  </si>
  <si>
    <t>-21:11:13</t>
  </si>
  <si>
    <t>+31:22:53.4</t>
  </si>
  <si>
    <t>-40:02:47.6</t>
  </si>
  <si>
    <t>-24:31:29.0</t>
  </si>
  <si>
    <t>-36:00:19.1</t>
  </si>
  <si>
    <t>+38:52:56.8</t>
  </si>
  <si>
    <t>+26:15:18</t>
  </si>
  <si>
    <t>-37:13:17</t>
  </si>
  <si>
    <t>-64:51:48.6</t>
  </si>
  <si>
    <t>-77:16:54.8</t>
  </si>
  <si>
    <t>+00:04:18</t>
  </si>
  <si>
    <t>-46:24:44.9</t>
  </si>
  <si>
    <t>+28:58:24.9</t>
  </si>
  <si>
    <t>+12:15:36</t>
  </si>
  <si>
    <t>+18:32:33.5</t>
  </si>
  <si>
    <t>-72:39:32.4</t>
  </si>
  <si>
    <t>-51:09:01</t>
  </si>
  <si>
    <t>-26:44:38.6</t>
  </si>
  <si>
    <t>-70:52:35.4</t>
  </si>
  <si>
    <t>+18:10:05.4</t>
  </si>
  <si>
    <t>+17:42:00.9</t>
  </si>
  <si>
    <t>-47:28:46.5</t>
  </si>
  <si>
    <t>+28:22:38.2</t>
  </si>
  <si>
    <t>-51:22:27.3</t>
  </si>
  <si>
    <t>-27:10:03</t>
  </si>
  <si>
    <t>+28:32:04.0</t>
  </si>
  <si>
    <t>-05:58:35.1</t>
  </si>
  <si>
    <t>-26:32:20.2</t>
  </si>
  <si>
    <t>-82:12:49.3</t>
  </si>
  <si>
    <t>-33:04:05.6</t>
  </si>
  <si>
    <t>-00:06:41.8</t>
  </si>
  <si>
    <t>-21:00:37.0</t>
  </si>
  <si>
    <t>+02:04:51.7</t>
  </si>
  <si>
    <t>-50:40:22.9</t>
  </si>
  <si>
    <t>-50:39:34.8</t>
  </si>
  <si>
    <t>-50:03:09.8</t>
  </si>
  <si>
    <t>-37:47:11.1</t>
  </si>
  <si>
    <t>-55:19:04.0</t>
  </si>
  <si>
    <t>+14:57:28</t>
  </si>
  <si>
    <t>-22:58:33.9</t>
  </si>
  <si>
    <t>-26:31:32.7</t>
  </si>
  <si>
    <t>-72:12:07.9</t>
  </si>
  <si>
    <t>-26:01:24.6</t>
  </si>
  <si>
    <t>-38:50:55.5</t>
  </si>
  <si>
    <t>-35:21:12.5</t>
  </si>
  <si>
    <t>-13:03:13.6</t>
  </si>
  <si>
    <t>-28:23:55.3</t>
  </si>
  <si>
    <t>+36:27:35.5</t>
  </si>
  <si>
    <t>+47:31:39.9</t>
  </si>
  <si>
    <t>-01:56:54.7</t>
  </si>
  <si>
    <t>-47:03:29</t>
  </si>
  <si>
    <t>-22:10:38.8</t>
  </si>
  <si>
    <t>-04:06:01.1</t>
  </si>
  <si>
    <t>-37:07:17.0</t>
  </si>
  <si>
    <t>-00:32:20</t>
  </si>
  <si>
    <t>-30:06:49.4</t>
  </si>
  <si>
    <t>-26:16:04.7</t>
  </si>
  <si>
    <t>-24:45:53.5</t>
  </si>
  <si>
    <t>-22:42:30.1</t>
  </si>
  <si>
    <t>-26:34:55.5</t>
  </si>
  <si>
    <t>-29:27:43.3</t>
  </si>
  <si>
    <t>-28:08:24.4</t>
  </si>
  <si>
    <t>+43:08:09.4</t>
  </si>
  <si>
    <t>-23:45:57.6</t>
  </si>
  <si>
    <t>-18:30:57.4</t>
  </si>
  <si>
    <t>-19:35:14.7</t>
  </si>
  <si>
    <t>-17:48:46.9</t>
  </si>
  <si>
    <t>-26:21:12.3</t>
  </si>
  <si>
    <t>-48:25:19.8</t>
  </si>
  <si>
    <t>-07:05:35</t>
  </si>
  <si>
    <t>-30:48:08.4</t>
  </si>
  <si>
    <t>-05:04:47.5</t>
  </si>
  <si>
    <t>-31:35:43.9</t>
  </si>
  <si>
    <t>-29:58:54</t>
  </si>
  <si>
    <t>-67:02:54.0</t>
  </si>
  <si>
    <t>-33:23:20.4</t>
  </si>
  <si>
    <t>-39:04:09</t>
  </si>
  <si>
    <t>-30:28:11</t>
  </si>
  <si>
    <t>-38:33:12</t>
  </si>
  <si>
    <t>-44:44:07.8</t>
  </si>
  <si>
    <t>-03:14:45.3</t>
  </si>
  <si>
    <t>-23:54:34.2</t>
  </si>
  <si>
    <t>-53:40:27.6</t>
  </si>
  <si>
    <t>-26:13:21</t>
  </si>
  <si>
    <t>+03:10:12.5</t>
  </si>
  <si>
    <t>-33:03:56</t>
  </si>
  <si>
    <t>-24:46:45</t>
  </si>
  <si>
    <t>-20:21:36.9</t>
  </si>
  <si>
    <t>-37:03:05.2</t>
  </si>
  <si>
    <t>-31:16:31.4</t>
  </si>
  <si>
    <t>-34:35:57.0</t>
  </si>
  <si>
    <t>-24:08:43</t>
  </si>
  <si>
    <t>-44:15:57.4</t>
  </si>
  <si>
    <t>-26:50:23</t>
  </si>
  <si>
    <t>-27:49:33</t>
  </si>
  <si>
    <t>-08:57:31.6</t>
  </si>
  <si>
    <t>-26:04:21</t>
  </si>
  <si>
    <t>-30:02:02.3</t>
  </si>
  <si>
    <t>-00:17:51.5</t>
  </si>
  <si>
    <t>-30:03:22.6</t>
  </si>
  <si>
    <t>-07:35:09.1</t>
  </si>
  <si>
    <t>-27:45:55</t>
  </si>
  <si>
    <t>-24:59:50.4</t>
  </si>
  <si>
    <t>-43:42:53.6</t>
  </si>
  <si>
    <t>-19:49:47</t>
  </si>
  <si>
    <t>-46:25:23</t>
  </si>
  <si>
    <t>-25:54:31.3</t>
  </si>
  <si>
    <t>-20:46:44</t>
  </si>
  <si>
    <t>-31:45:50.0</t>
  </si>
  <si>
    <t>-07:12:27.4</t>
  </si>
  <si>
    <t>-22:44:31</t>
  </si>
  <si>
    <t>-31:49:36.8</t>
  </si>
  <si>
    <t>-28:38:06</t>
  </si>
  <si>
    <t>-16:58:38</t>
  </si>
  <si>
    <t>-52:12:56.8</t>
  </si>
  <si>
    <t>-30:21:39.7</t>
  </si>
  <si>
    <t>-24:52:11.2</t>
  </si>
  <si>
    <t>-25:29:50.9</t>
  </si>
  <si>
    <t>-32:20:53.1</t>
  </si>
  <si>
    <t>-23:28:30.7</t>
  </si>
  <si>
    <t>-32:59:26.6</t>
  </si>
  <si>
    <t>-23:54:17.1</t>
  </si>
  <si>
    <t>-19:49:33</t>
  </si>
  <si>
    <t>-32:17:31.6</t>
  </si>
  <si>
    <t>-01:29:50</t>
  </si>
  <si>
    <t>-08:42:22.0</t>
  </si>
  <si>
    <t>-30:28:47.5</t>
  </si>
  <si>
    <t>-22:42:05.3</t>
  </si>
  <si>
    <t>-36:37:56.1</t>
  </si>
  <si>
    <t>+01:54:03</t>
  </si>
  <si>
    <t>-59:59:04.4</t>
  </si>
  <si>
    <t>+01:01:49.7</t>
  </si>
  <si>
    <t>+30:11:00.5</t>
  </si>
  <si>
    <t>-34:39:27.8</t>
  </si>
  <si>
    <t>+18:34:18</t>
  </si>
  <si>
    <t>-30:21:20.3</t>
  </si>
  <si>
    <t>-30:57:53.1</t>
  </si>
  <si>
    <t>-33:59:58.1</t>
  </si>
  <si>
    <t>-08:00:26</t>
  </si>
  <si>
    <t>+18:46:45.1</t>
  </si>
  <si>
    <t>-21:55:16.2</t>
  </si>
  <si>
    <t>+07:24:16.1</t>
  </si>
  <si>
    <t>-12:32:14.3</t>
  </si>
  <si>
    <t>+16:11:14.4</t>
  </si>
  <si>
    <t>+12:10:01.2</t>
  </si>
  <si>
    <t>-00:49:23.7</t>
  </si>
  <si>
    <t>-23:10:47.5</t>
  </si>
  <si>
    <t>-21:15:09.4</t>
  </si>
  <si>
    <t>+12:46:19.2</t>
  </si>
  <si>
    <t>-15:36:41.4</t>
  </si>
  <si>
    <t>ID</t>
  </si>
  <si>
    <t>NGC 104</t>
  </si>
  <si>
    <t>NGC 288</t>
  </si>
  <si>
    <t>NGC 362</t>
  </si>
  <si>
    <t>Whiting 1</t>
  </si>
  <si>
    <t>NGC 1261</t>
  </si>
  <si>
    <t>Pal 1</t>
  </si>
  <si>
    <t>AM 1</t>
  </si>
  <si>
    <t>Eridanus</t>
  </si>
  <si>
    <t>Pal 2</t>
  </si>
  <si>
    <t>NGC 1851</t>
  </si>
  <si>
    <t>NGC 1904</t>
  </si>
  <si>
    <t>NGC 2298</t>
  </si>
  <si>
    <t>NGC 2419</t>
  </si>
  <si>
    <t>Ko 2</t>
  </si>
  <si>
    <t>Pyxis</t>
  </si>
  <si>
    <t>NGC 2808</t>
  </si>
  <si>
    <t>E 3</t>
  </si>
  <si>
    <t>Pal 3</t>
  </si>
  <si>
    <t>NGC 3201</t>
  </si>
  <si>
    <t>Pal 4</t>
  </si>
  <si>
    <t>Ko 1</t>
  </si>
  <si>
    <t>NGC 4147</t>
  </si>
  <si>
    <t>NGC 4372</t>
  </si>
  <si>
    <t>Rup 106</t>
  </si>
  <si>
    <t>NGC 4590</t>
  </si>
  <si>
    <t>NGC 4833</t>
  </si>
  <si>
    <t>NGC 5024</t>
  </si>
  <si>
    <t>NGC 5053</t>
  </si>
  <si>
    <t>NGC 5139</t>
  </si>
  <si>
    <t>NGC 5272</t>
  </si>
  <si>
    <t>NGC 5286</t>
  </si>
  <si>
    <t>AM 4</t>
  </si>
  <si>
    <t>NGC 5466</t>
  </si>
  <si>
    <t>NGC 5634</t>
  </si>
  <si>
    <t>NGC 5694</t>
  </si>
  <si>
    <t>IC 4499</t>
  </si>
  <si>
    <t>NGC 5824</t>
  </si>
  <si>
    <t>Pal 5</t>
  </si>
  <si>
    <t>NGC 5897</t>
  </si>
  <si>
    <t>NGC 5904</t>
  </si>
  <si>
    <t>NGC 5927</t>
  </si>
  <si>
    <t>NGC 5946</t>
  </si>
  <si>
    <t>BH 176</t>
  </si>
  <si>
    <t>NGC 5986</t>
  </si>
  <si>
    <t>Lynga 7</t>
  </si>
  <si>
    <t>Pal 14</t>
  </si>
  <si>
    <t>NGC 6093</t>
  </si>
  <si>
    <t>NGC 6121</t>
  </si>
  <si>
    <t>NGC 6101</t>
  </si>
  <si>
    <t>NGC 6144</t>
  </si>
  <si>
    <t>NGC 6139</t>
  </si>
  <si>
    <t>Terzan 3</t>
  </si>
  <si>
    <t>NGC 6171</t>
  </si>
  <si>
    <t>1636-283</t>
  </si>
  <si>
    <t>NGC 6205</t>
  </si>
  <si>
    <t>NGC 6229</t>
  </si>
  <si>
    <t>NGC 6218</t>
  </si>
  <si>
    <t>FSR 1735</t>
  </si>
  <si>
    <t>NGC 6235</t>
  </si>
  <si>
    <t>NGC 6254</t>
  </si>
  <si>
    <t>NGC 6256</t>
  </si>
  <si>
    <t>Pal 15</t>
  </si>
  <si>
    <t>NGC 6266</t>
  </si>
  <si>
    <t>NGC 6273</t>
  </si>
  <si>
    <t>NGC 6284</t>
  </si>
  <si>
    <t>NGC 6287</t>
  </si>
  <si>
    <t>NGC 6293</t>
  </si>
  <si>
    <t>NGC 6304</t>
  </si>
  <si>
    <t>NGC 6316</t>
  </si>
  <si>
    <t>NGC 6341</t>
  </si>
  <si>
    <t>NGC 6325</t>
  </si>
  <si>
    <t>NGC 6333</t>
  </si>
  <si>
    <t>NGC 6342</t>
  </si>
  <si>
    <t>NGC 6356</t>
  </si>
  <si>
    <t>NGC 6355</t>
  </si>
  <si>
    <t>NGC 6352</t>
  </si>
  <si>
    <t>IC 1257</t>
  </si>
  <si>
    <t>Terzan 2</t>
  </si>
  <si>
    <t>NGC 6366</t>
  </si>
  <si>
    <t>Terzan 4</t>
  </si>
  <si>
    <t>HP 1</t>
  </si>
  <si>
    <t>NGC 6362</t>
  </si>
  <si>
    <t>Liller 1</t>
  </si>
  <si>
    <t>NGC 6380</t>
  </si>
  <si>
    <t>Terzan 1</t>
  </si>
  <si>
    <t>Ton 2</t>
  </si>
  <si>
    <t>NGC 6388</t>
  </si>
  <si>
    <t>NGC 6402</t>
  </si>
  <si>
    <t>NGC 6401</t>
  </si>
  <si>
    <t>NGC 6397</t>
  </si>
  <si>
    <t>Pal 6</t>
  </si>
  <si>
    <t>NGC 6426</t>
  </si>
  <si>
    <t>Djorg 1</t>
  </si>
  <si>
    <t>Terzan 5</t>
  </si>
  <si>
    <t>NGC 6440</t>
  </si>
  <si>
    <t>NGC 6441</t>
  </si>
  <si>
    <t>Terzan 6</t>
  </si>
  <si>
    <t>NGC 6453</t>
  </si>
  <si>
    <t>UKS 1</t>
  </si>
  <si>
    <t>NGC 6496</t>
  </si>
  <si>
    <t>Terzan 9</t>
  </si>
  <si>
    <t>Djorg 2</t>
  </si>
  <si>
    <t>NGC 6517</t>
  </si>
  <si>
    <t>Terzan 10</t>
  </si>
  <si>
    <t>NGC 6522</t>
  </si>
  <si>
    <t>NGC 6535</t>
  </si>
  <si>
    <t>NGC 6528</t>
  </si>
  <si>
    <t>NGC 6539</t>
  </si>
  <si>
    <t>NGC 6540</t>
  </si>
  <si>
    <t>NGC 6544</t>
  </si>
  <si>
    <t>NGC 6541</t>
  </si>
  <si>
    <t>2MS-GC01</t>
  </si>
  <si>
    <t>ESO-SC06</t>
  </si>
  <si>
    <t>NGC 6553</t>
  </si>
  <si>
    <t>2MS-GC02</t>
  </si>
  <si>
    <t>NGC 6558</t>
  </si>
  <si>
    <t>IC 1276</t>
  </si>
  <si>
    <t>Terzan 12</t>
  </si>
  <si>
    <t>NGC 6569</t>
  </si>
  <si>
    <t>BH 261</t>
  </si>
  <si>
    <t>GLIMPSE02</t>
  </si>
  <si>
    <t>NGC 6584</t>
  </si>
  <si>
    <t>NGC 6624</t>
  </si>
  <si>
    <t>NGC 6626</t>
  </si>
  <si>
    <t>NGC 6638</t>
  </si>
  <si>
    <t>NGC 6637</t>
  </si>
  <si>
    <t>NGC 6642</t>
  </si>
  <si>
    <t>NGC 6652</t>
  </si>
  <si>
    <t>NGC 6656</t>
  </si>
  <si>
    <t>Pal 8</t>
  </si>
  <si>
    <t>NGC 6681</t>
  </si>
  <si>
    <t>GLIMPSE01</t>
  </si>
  <si>
    <t>NGC 6712</t>
  </si>
  <si>
    <t>NGC 6715</t>
  </si>
  <si>
    <t>NGC 6717</t>
  </si>
  <si>
    <t>NGC 6723</t>
  </si>
  <si>
    <t>NGC 6749</t>
  </si>
  <si>
    <t>NGC 6752</t>
  </si>
  <si>
    <t>NGC 6760</t>
  </si>
  <si>
    <t>NGC 6779</t>
  </si>
  <si>
    <t>Terzan 7</t>
  </si>
  <si>
    <t>Pal 10</t>
  </si>
  <si>
    <t>Arp 2</t>
  </si>
  <si>
    <t>NGC 6809</t>
  </si>
  <si>
    <t>Terzan 8</t>
  </si>
  <si>
    <t>Pal 11</t>
  </si>
  <si>
    <t>NGC 6838</t>
  </si>
  <si>
    <t>NGC 6864</t>
  </si>
  <si>
    <t>NGC 6934</t>
  </si>
  <si>
    <t>NGC 6981</t>
  </si>
  <si>
    <t>NGC 7006</t>
  </si>
  <si>
    <t>NGC 7078</t>
  </si>
  <si>
    <t>NGC 7089</t>
  </si>
  <si>
    <t>NGC 7099</t>
  </si>
  <si>
    <t>Pal 12</t>
  </si>
  <si>
    <t>Pal 13</t>
  </si>
  <si>
    <t>NGC 7492</t>
  </si>
  <si>
    <t>#NGC</t>
  </si>
  <si>
    <t>XXXX</t>
  </si>
  <si>
    <t>harrispartIII</t>
  </si>
  <si>
    <t>Krause</t>
  </si>
  <si>
    <t>vandenberg</t>
  </si>
  <si>
    <t>harrispartI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</si>
</sst>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47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5522-0AA7-6944-BB17-5F614F846001}">
  <dimension ref="A1:AO163"/>
  <sheetViews>
    <sheetView tabSelected="1" topLeftCell="S71" workbookViewId="0">
      <selection activeCell="AD4" sqref="AD4:AF4"/>
    </sheetView>
  </sheetViews>
  <sheetFormatPr baseColWidth="10" defaultRowHeight="16" x14ac:dyDescent="0.2"/>
  <cols>
    <col min="29" max="29" width="10.83203125" style="7"/>
  </cols>
  <sheetData>
    <row r="1" spans="1:41" x14ac:dyDescent="0.2">
      <c r="A1" s="6" t="s">
        <v>437</v>
      </c>
      <c r="B1" s="6"/>
      <c r="C1" s="6"/>
      <c r="D1" s="6"/>
      <c r="E1" s="6"/>
      <c r="F1" s="6"/>
      <c r="G1" s="6" t="s">
        <v>438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 t="s">
        <v>439</v>
      </c>
      <c r="T1" s="6"/>
      <c r="U1" s="6"/>
      <c r="V1" s="6"/>
      <c r="W1" s="6"/>
      <c r="X1" s="6"/>
      <c r="Y1" s="6"/>
      <c r="Z1" s="6"/>
      <c r="AA1" s="6"/>
      <c r="AB1" s="6"/>
      <c r="AD1" s="6" t="s">
        <v>436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x14ac:dyDescent="0.2">
      <c r="A2" s="5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5" t="s">
        <v>434</v>
      </c>
      <c r="H2" t="s">
        <v>5</v>
      </c>
      <c r="I2" t="s">
        <v>4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s="5" t="s">
        <v>276</v>
      </c>
      <c r="T2" t="s">
        <v>110</v>
      </c>
      <c r="U2" t="s">
        <v>111</v>
      </c>
      <c r="V2" t="s">
        <v>112</v>
      </c>
      <c r="W2" t="s">
        <v>113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s="8"/>
      <c r="AD2" s="4" t="s">
        <v>97</v>
      </c>
      <c r="AE2" s="4" t="s">
        <v>98</v>
      </c>
      <c r="AF2" s="4" t="s">
        <v>99</v>
      </c>
      <c r="AG2" s="4" t="s">
        <v>100</v>
      </c>
      <c r="AH2" s="4" t="s">
        <v>101</v>
      </c>
      <c r="AI2" s="4" t="s">
        <v>102</v>
      </c>
      <c r="AJ2" s="4" t="s">
        <v>103</v>
      </c>
      <c r="AK2" s="4" t="s">
        <v>104</v>
      </c>
      <c r="AL2" s="4" t="s">
        <v>105</v>
      </c>
      <c r="AM2" s="4" t="s">
        <v>106</v>
      </c>
      <c r="AN2" s="4" t="s">
        <v>107</v>
      </c>
      <c r="AO2" s="4" t="s">
        <v>108</v>
      </c>
    </row>
    <row r="3" spans="1:41" x14ac:dyDescent="0.2">
      <c r="A3" s="5" t="s">
        <v>6</v>
      </c>
      <c r="B3">
        <v>6.46</v>
      </c>
      <c r="C3">
        <v>7.1</v>
      </c>
      <c r="D3">
        <v>0.92</v>
      </c>
      <c r="E3">
        <v>12.8</v>
      </c>
      <c r="F3">
        <v>-0.76</v>
      </c>
      <c r="G3" s="5">
        <v>104</v>
      </c>
      <c r="H3">
        <v>-0.76</v>
      </c>
      <c r="I3">
        <v>11.75</v>
      </c>
      <c r="J3">
        <v>0.25</v>
      </c>
      <c r="K3" t="s">
        <v>76</v>
      </c>
      <c r="L3">
        <v>14</v>
      </c>
      <c r="M3" t="s">
        <v>77</v>
      </c>
      <c r="N3">
        <v>-0.99</v>
      </c>
      <c r="O3">
        <v>7.4</v>
      </c>
      <c r="P3">
        <v>-9.42</v>
      </c>
      <c r="Q3">
        <v>54.8</v>
      </c>
      <c r="R3">
        <v>5.0609999999999999</v>
      </c>
      <c r="S3" s="5" t="s">
        <v>277</v>
      </c>
      <c r="T3" s="2">
        <v>1.6732291666666666E-2</v>
      </c>
      <c r="U3" t="s">
        <v>119</v>
      </c>
      <c r="V3">
        <v>305.89</v>
      </c>
      <c r="W3">
        <v>-44.89</v>
      </c>
      <c r="X3">
        <v>4.5</v>
      </c>
      <c r="Y3">
        <v>7.4</v>
      </c>
      <c r="Z3">
        <v>1.9</v>
      </c>
      <c r="AA3">
        <v>-2.6</v>
      </c>
      <c r="AB3">
        <v>-3.1</v>
      </c>
      <c r="AC3" s="8"/>
      <c r="AD3" s="4">
        <v>-18</v>
      </c>
      <c r="AE3" s="4">
        <v>0.1</v>
      </c>
      <c r="AF3" s="4">
        <v>-26.7</v>
      </c>
      <c r="AG3" s="4">
        <v>11</v>
      </c>
      <c r="AH3" s="4">
        <v>0.3</v>
      </c>
      <c r="AI3" s="4">
        <v>2.0699999999999998</v>
      </c>
      <c r="AJ3" s="4">
        <v>0.36</v>
      </c>
      <c r="AK3" s="4">
        <v>3.17</v>
      </c>
      <c r="AL3" s="4">
        <v>14.38</v>
      </c>
      <c r="AM3" s="4">
        <v>4.88</v>
      </c>
      <c r="AN3" s="4">
        <v>7.84</v>
      </c>
      <c r="AO3" s="4">
        <v>9.5500000000000007</v>
      </c>
    </row>
    <row r="4" spans="1:41" x14ac:dyDescent="0.2">
      <c r="A4" s="5" t="s">
        <v>7</v>
      </c>
      <c r="B4">
        <v>0.46</v>
      </c>
      <c r="C4">
        <v>9.8000000000000007</v>
      </c>
      <c r="D4">
        <v>0.05</v>
      </c>
      <c r="E4">
        <v>12.2</v>
      </c>
      <c r="F4">
        <v>-1.32</v>
      </c>
      <c r="G4" s="5">
        <v>288</v>
      </c>
      <c r="H4">
        <v>-1.32</v>
      </c>
      <c r="I4">
        <v>11.5</v>
      </c>
      <c r="J4">
        <v>0.38</v>
      </c>
      <c r="K4" t="s">
        <v>78</v>
      </c>
      <c r="L4">
        <v>24</v>
      </c>
      <c r="N4">
        <v>0.98</v>
      </c>
      <c r="O4">
        <v>12</v>
      </c>
      <c r="P4">
        <v>-6.75</v>
      </c>
      <c r="Q4">
        <v>10.9</v>
      </c>
      <c r="R4">
        <v>2.9529999999999998</v>
      </c>
      <c r="S4" s="5" t="s">
        <v>278</v>
      </c>
      <c r="T4" s="2">
        <v>3.6634722222222221E-2</v>
      </c>
      <c r="U4" t="s">
        <v>120</v>
      </c>
      <c r="V4">
        <v>152.30000000000001</v>
      </c>
      <c r="W4">
        <v>-89.38</v>
      </c>
      <c r="X4">
        <v>8.9</v>
      </c>
      <c r="Y4">
        <v>12</v>
      </c>
      <c r="Z4">
        <v>-0.1</v>
      </c>
      <c r="AA4">
        <v>0</v>
      </c>
      <c r="AB4">
        <v>-8.9</v>
      </c>
      <c r="AC4" s="8"/>
      <c r="AD4" s="4">
        <v>-45.4</v>
      </c>
      <c r="AE4" s="4">
        <v>0.2</v>
      </c>
      <c r="AF4" s="4">
        <v>-51.9</v>
      </c>
      <c r="AG4" s="4">
        <v>2.9</v>
      </c>
      <c r="AH4" s="4">
        <v>0.3</v>
      </c>
      <c r="AI4" s="4">
        <v>0.99</v>
      </c>
      <c r="AJ4" s="4">
        <v>1.35</v>
      </c>
      <c r="AK4" s="4">
        <v>2.23</v>
      </c>
      <c r="AL4" s="4">
        <v>20.05</v>
      </c>
      <c r="AM4" s="4">
        <v>1.78</v>
      </c>
      <c r="AN4" s="4">
        <v>8.99</v>
      </c>
      <c r="AO4" s="4">
        <v>9.32</v>
      </c>
    </row>
    <row r="5" spans="1:41" x14ac:dyDescent="0.2">
      <c r="A5" s="5" t="s">
        <v>8</v>
      </c>
      <c r="B5">
        <v>2.5</v>
      </c>
      <c r="C5">
        <v>3.5</v>
      </c>
      <c r="D5">
        <v>0.72</v>
      </c>
      <c r="E5">
        <v>10</v>
      </c>
      <c r="F5">
        <v>-1.26</v>
      </c>
      <c r="G5" s="5">
        <v>362</v>
      </c>
      <c r="H5">
        <v>-1.3</v>
      </c>
      <c r="I5">
        <v>10.75</v>
      </c>
      <c r="J5">
        <v>0.25</v>
      </c>
      <c r="K5" t="s">
        <v>76</v>
      </c>
      <c r="L5">
        <v>13</v>
      </c>
      <c r="M5" t="s">
        <v>79</v>
      </c>
      <c r="N5">
        <v>-0.87</v>
      </c>
      <c r="O5">
        <v>9.4</v>
      </c>
      <c r="P5">
        <v>-8.43</v>
      </c>
      <c r="Q5">
        <v>44.4</v>
      </c>
      <c r="R5">
        <v>4.9379999999999997</v>
      </c>
      <c r="S5" s="5" t="s">
        <v>279</v>
      </c>
      <c r="T5" s="2">
        <v>4.3915046296296299E-2</v>
      </c>
      <c r="U5" t="s">
        <v>121</v>
      </c>
      <c r="V5">
        <v>301.52999999999997</v>
      </c>
      <c r="W5">
        <v>-46.25</v>
      </c>
      <c r="X5">
        <v>8.6</v>
      </c>
      <c r="Y5">
        <v>9.4</v>
      </c>
      <c r="Z5">
        <v>3.1</v>
      </c>
      <c r="AA5">
        <v>-5.0999999999999996</v>
      </c>
      <c r="AB5">
        <v>-6.2</v>
      </c>
      <c r="AC5" s="8"/>
      <c r="AD5" s="4">
        <v>223.5</v>
      </c>
      <c r="AE5" s="4">
        <v>0.5</v>
      </c>
      <c r="AF5" s="4">
        <v>214</v>
      </c>
      <c r="AG5" s="4">
        <v>6.4</v>
      </c>
      <c r="AH5" s="4">
        <v>0.3</v>
      </c>
      <c r="AI5" s="4">
        <v>1.76</v>
      </c>
      <c r="AJ5" s="4">
        <v>0.18</v>
      </c>
      <c r="AK5" s="4">
        <v>0.82</v>
      </c>
      <c r="AL5" s="4">
        <v>14.8</v>
      </c>
      <c r="AM5" s="4">
        <v>4.74</v>
      </c>
      <c r="AN5" s="4">
        <v>7.76</v>
      </c>
      <c r="AO5" s="4">
        <v>8.93</v>
      </c>
    </row>
    <row r="6" spans="1:41" x14ac:dyDescent="0.2">
      <c r="A6" s="5" t="s">
        <v>9</v>
      </c>
      <c r="B6">
        <v>3.41</v>
      </c>
      <c r="C6">
        <v>5.5</v>
      </c>
      <c r="D6">
        <v>0.62</v>
      </c>
      <c r="E6">
        <v>10.24</v>
      </c>
      <c r="F6">
        <v>-1.08</v>
      </c>
      <c r="G6" s="5">
        <v>1261</v>
      </c>
      <c r="H6">
        <v>-1.27</v>
      </c>
      <c r="I6">
        <v>10.75</v>
      </c>
      <c r="J6">
        <v>0.25</v>
      </c>
      <c r="K6" t="s">
        <v>76</v>
      </c>
      <c r="L6">
        <v>13</v>
      </c>
      <c r="M6" t="s">
        <v>80</v>
      </c>
      <c r="N6">
        <v>-0.71</v>
      </c>
      <c r="O6">
        <v>18.100000000000001</v>
      </c>
      <c r="P6">
        <v>-7.8</v>
      </c>
      <c r="Q6">
        <v>23.6</v>
      </c>
      <c r="R6">
        <v>3.9129999999999998</v>
      </c>
      <c r="S6" s="5" t="s">
        <v>280</v>
      </c>
      <c r="T6" s="3">
        <v>8.5381944444444441E-2</v>
      </c>
      <c r="U6" t="s">
        <v>122</v>
      </c>
      <c r="V6">
        <v>161.22</v>
      </c>
      <c r="W6">
        <v>-60.76</v>
      </c>
      <c r="X6">
        <v>30.1</v>
      </c>
      <c r="Y6">
        <v>34.5</v>
      </c>
      <c r="Z6">
        <v>-13.9</v>
      </c>
      <c r="AA6">
        <v>4.7</v>
      </c>
      <c r="AB6">
        <v>-26.3</v>
      </c>
      <c r="AC6" s="8"/>
      <c r="AD6" s="4">
        <v>-130.6</v>
      </c>
      <c r="AE6" s="4">
        <v>1.8</v>
      </c>
      <c r="AF6" s="4">
        <v>-138.1</v>
      </c>
      <c r="AG6" s="4" t="s">
        <v>109</v>
      </c>
      <c r="AH6" s="4" t="s">
        <v>109</v>
      </c>
      <c r="AI6" s="4">
        <v>0.55000000000000004</v>
      </c>
      <c r="AJ6" s="4">
        <v>0.25</v>
      </c>
      <c r="AK6" s="4">
        <v>0.22</v>
      </c>
      <c r="AL6" s="4" t="s">
        <v>109</v>
      </c>
      <c r="AM6" s="4" t="s">
        <v>109</v>
      </c>
      <c r="AN6" s="4" t="s">
        <v>109</v>
      </c>
      <c r="AO6" s="4">
        <v>7.93</v>
      </c>
    </row>
    <row r="7" spans="1:41" x14ac:dyDescent="0.2">
      <c r="A7" s="5" t="s">
        <v>10</v>
      </c>
      <c r="B7">
        <v>5.51</v>
      </c>
      <c r="C7">
        <v>3.05</v>
      </c>
      <c r="D7">
        <v>1.81</v>
      </c>
      <c r="E7">
        <v>7.64</v>
      </c>
      <c r="F7">
        <v>-1.1299999999999999</v>
      </c>
      <c r="G7" s="5">
        <v>1851</v>
      </c>
      <c r="H7">
        <v>-1.18</v>
      </c>
      <c r="I7">
        <v>11</v>
      </c>
      <c r="J7">
        <v>0.25</v>
      </c>
      <c r="K7" t="s">
        <v>76</v>
      </c>
      <c r="L7">
        <v>13</v>
      </c>
      <c r="M7" t="s">
        <v>80</v>
      </c>
      <c r="N7">
        <v>-0.32</v>
      </c>
      <c r="O7">
        <v>16.600000000000001</v>
      </c>
      <c r="P7">
        <v>-8.33</v>
      </c>
      <c r="Q7">
        <v>47.6</v>
      </c>
      <c r="R7">
        <v>5.1360000000000001</v>
      </c>
      <c r="S7" s="5" t="s">
        <v>281</v>
      </c>
      <c r="T7" s="2">
        <v>0.13352094907407405</v>
      </c>
      <c r="U7" t="s">
        <v>123</v>
      </c>
      <c r="V7">
        <v>270.54000000000002</v>
      </c>
      <c r="W7">
        <v>-52.12</v>
      </c>
      <c r="X7">
        <v>16.3</v>
      </c>
      <c r="Y7">
        <v>18.100000000000001</v>
      </c>
      <c r="Z7">
        <v>0.1</v>
      </c>
      <c r="AA7">
        <v>-10</v>
      </c>
      <c r="AB7">
        <v>-12.9</v>
      </c>
      <c r="AC7" s="8"/>
      <c r="AD7" s="4">
        <v>68.2</v>
      </c>
      <c r="AE7" s="4">
        <v>4.5999999999999996</v>
      </c>
      <c r="AF7" s="4">
        <v>54.9</v>
      </c>
      <c r="AG7" s="4" t="s">
        <v>109</v>
      </c>
      <c r="AH7" s="4" t="s">
        <v>109</v>
      </c>
      <c r="AI7" s="4">
        <v>1.1599999999999999</v>
      </c>
      <c r="AJ7" s="4">
        <v>0.35</v>
      </c>
      <c r="AK7" s="4">
        <v>0.68</v>
      </c>
      <c r="AL7" s="4">
        <v>17.73</v>
      </c>
      <c r="AM7" s="4">
        <v>2.99</v>
      </c>
      <c r="AN7" s="4">
        <v>8.59</v>
      </c>
      <c r="AO7" s="4">
        <v>9.1199999999999992</v>
      </c>
    </row>
    <row r="8" spans="1:41" x14ac:dyDescent="0.2">
      <c r="A8" s="5" t="s">
        <v>11</v>
      </c>
      <c r="B8">
        <v>1.45</v>
      </c>
      <c r="C8">
        <v>4.0999999999999996</v>
      </c>
      <c r="D8">
        <v>0.5</v>
      </c>
      <c r="E8">
        <v>12</v>
      </c>
      <c r="F8">
        <v>-1.58</v>
      </c>
      <c r="G8" s="5">
        <v>2808</v>
      </c>
      <c r="H8">
        <v>-1.18</v>
      </c>
      <c r="I8">
        <v>11</v>
      </c>
      <c r="J8">
        <v>0.38</v>
      </c>
      <c r="K8" t="s">
        <v>76</v>
      </c>
      <c r="L8">
        <v>13</v>
      </c>
      <c r="M8" t="s">
        <v>81</v>
      </c>
      <c r="N8">
        <v>-0.49</v>
      </c>
      <c r="O8">
        <v>11.1</v>
      </c>
      <c r="P8">
        <v>-9.39</v>
      </c>
      <c r="Q8">
        <v>62.4</v>
      </c>
      <c r="R8">
        <v>5.07</v>
      </c>
      <c r="S8" s="5" t="s">
        <v>282</v>
      </c>
      <c r="T8" s="2">
        <v>0.14814861111111113</v>
      </c>
      <c r="U8" t="s">
        <v>124</v>
      </c>
      <c r="V8">
        <v>130.06</v>
      </c>
      <c r="W8">
        <v>19.03</v>
      </c>
      <c r="X8">
        <v>11.1</v>
      </c>
      <c r="Y8">
        <v>17.2</v>
      </c>
      <c r="Z8">
        <v>-6.8</v>
      </c>
      <c r="AA8">
        <v>8.1</v>
      </c>
      <c r="AB8">
        <v>3.6</v>
      </c>
      <c r="AC8" s="8"/>
      <c r="AD8" s="4">
        <v>-82.8</v>
      </c>
      <c r="AE8" s="4">
        <v>3.3</v>
      </c>
      <c r="AF8" s="4">
        <v>-76.2</v>
      </c>
      <c r="AG8" s="4" t="s">
        <v>109</v>
      </c>
      <c r="AH8" s="4" t="s">
        <v>109</v>
      </c>
      <c r="AI8" s="4">
        <v>2.57</v>
      </c>
      <c r="AJ8" s="4">
        <v>0.01</v>
      </c>
      <c r="AK8" s="4">
        <v>0.46</v>
      </c>
      <c r="AL8" s="4">
        <v>20.93</v>
      </c>
      <c r="AM8" s="4">
        <v>3.51</v>
      </c>
      <c r="AN8" s="4">
        <v>4.0599999999999996</v>
      </c>
      <c r="AO8" s="4">
        <v>7.76</v>
      </c>
    </row>
    <row r="9" spans="1:41" x14ac:dyDescent="0.2">
      <c r="A9" s="5" t="s">
        <v>12</v>
      </c>
      <c r="B9">
        <v>0.85</v>
      </c>
      <c r="C9">
        <v>3.1</v>
      </c>
      <c r="D9">
        <v>0.16</v>
      </c>
      <c r="E9">
        <v>12.4</v>
      </c>
      <c r="F9">
        <v>-1.98</v>
      </c>
      <c r="G9" s="5">
        <v>3201</v>
      </c>
      <c r="H9">
        <v>-1.51</v>
      </c>
      <c r="I9">
        <v>11.5</v>
      </c>
      <c r="J9">
        <v>0.38</v>
      </c>
      <c r="K9" t="s">
        <v>82</v>
      </c>
      <c r="L9" s="1">
        <v>11293</v>
      </c>
      <c r="M9" t="s">
        <v>83</v>
      </c>
      <c r="N9">
        <v>0.08</v>
      </c>
      <c r="O9">
        <v>8.8000000000000007</v>
      </c>
      <c r="P9">
        <v>-7.45</v>
      </c>
      <c r="Q9">
        <v>17.899999999999999</v>
      </c>
      <c r="R9">
        <v>3.5990000000000002</v>
      </c>
      <c r="S9" s="5" t="s">
        <v>283</v>
      </c>
      <c r="T9" s="2">
        <v>0.1632210648148148</v>
      </c>
      <c r="U9" t="s">
        <v>125</v>
      </c>
      <c r="V9">
        <v>258.33999999999997</v>
      </c>
      <c r="W9">
        <v>-48.47</v>
      </c>
      <c r="X9">
        <v>123.3</v>
      </c>
      <c r="Y9">
        <v>124.6</v>
      </c>
      <c r="Z9">
        <v>-16.5</v>
      </c>
      <c r="AA9">
        <v>-80.099999999999994</v>
      </c>
      <c r="AB9">
        <v>-92.3</v>
      </c>
      <c r="AC9" s="8"/>
      <c r="AD9" s="4">
        <v>116</v>
      </c>
      <c r="AE9" s="4">
        <v>20</v>
      </c>
      <c r="AF9" s="4">
        <v>101.3</v>
      </c>
      <c r="AG9" s="4" t="s">
        <v>109</v>
      </c>
      <c r="AH9" s="4" t="s">
        <v>109</v>
      </c>
      <c r="AI9" s="4">
        <v>1.36</v>
      </c>
      <c r="AJ9" s="4">
        <v>0.17</v>
      </c>
      <c r="AK9" s="4">
        <v>0.41</v>
      </c>
      <c r="AL9" s="4">
        <v>23.62</v>
      </c>
      <c r="AM9" s="4">
        <v>0.03</v>
      </c>
      <c r="AN9" s="4">
        <v>8.9600000000000009</v>
      </c>
      <c r="AO9" s="4">
        <v>9.61</v>
      </c>
    </row>
    <row r="10" spans="1:41" x14ac:dyDescent="0.2">
      <c r="A10" s="5" t="s">
        <v>13</v>
      </c>
      <c r="B10">
        <v>12.3</v>
      </c>
      <c r="C10">
        <v>3.8</v>
      </c>
      <c r="D10">
        <v>3.24</v>
      </c>
      <c r="E10">
        <v>11.2</v>
      </c>
      <c r="F10">
        <v>-1.18</v>
      </c>
      <c r="G10" s="5">
        <v>4147</v>
      </c>
      <c r="H10">
        <v>-1.78</v>
      </c>
      <c r="I10">
        <v>12.25</v>
      </c>
      <c r="J10">
        <v>0.25</v>
      </c>
      <c r="K10" t="s">
        <v>76</v>
      </c>
      <c r="L10">
        <v>11</v>
      </c>
      <c r="M10" t="s">
        <v>84</v>
      </c>
      <c r="N10">
        <v>0.66</v>
      </c>
      <c r="O10">
        <v>21.4</v>
      </c>
      <c r="P10">
        <v>-6.17</v>
      </c>
      <c r="Q10">
        <v>14.2</v>
      </c>
      <c r="R10">
        <v>3.8860000000000001</v>
      </c>
      <c r="S10" s="5" t="s">
        <v>284</v>
      </c>
      <c r="T10" s="2">
        <v>0.18384837962962963</v>
      </c>
      <c r="U10" t="s">
        <v>126</v>
      </c>
      <c r="V10">
        <v>218.1</v>
      </c>
      <c r="W10">
        <v>-41.33</v>
      </c>
      <c r="X10">
        <v>90.1</v>
      </c>
      <c r="Y10">
        <v>95</v>
      </c>
      <c r="Z10">
        <v>-53.2</v>
      </c>
      <c r="AA10">
        <v>-41.7</v>
      </c>
      <c r="AB10">
        <v>-59.5</v>
      </c>
      <c r="AC10" s="8"/>
      <c r="AD10" s="4">
        <v>-23.6</v>
      </c>
      <c r="AE10" s="4">
        <v>2.1</v>
      </c>
      <c r="AF10" s="4">
        <v>-39.1</v>
      </c>
      <c r="AG10" s="4" t="s">
        <v>109</v>
      </c>
      <c r="AH10" s="4" t="s">
        <v>109</v>
      </c>
      <c r="AI10" s="4">
        <v>1.1000000000000001</v>
      </c>
      <c r="AJ10" s="4">
        <v>0.25</v>
      </c>
      <c r="AK10" s="4">
        <v>0.46</v>
      </c>
      <c r="AL10" s="4">
        <v>22.81</v>
      </c>
      <c r="AM10" s="4">
        <v>0.38</v>
      </c>
      <c r="AN10" s="4">
        <v>9.18</v>
      </c>
      <c r="AO10" s="4">
        <v>9.5399999999999991</v>
      </c>
    </row>
    <row r="11" spans="1:41" x14ac:dyDescent="0.2">
      <c r="A11" s="5" t="s">
        <v>14</v>
      </c>
      <c r="B11">
        <v>1.1000000000000001</v>
      </c>
      <c r="C11">
        <v>7.5</v>
      </c>
      <c r="D11">
        <v>0.15</v>
      </c>
      <c r="E11">
        <v>11.1</v>
      </c>
      <c r="F11">
        <v>-1.51</v>
      </c>
      <c r="G11" s="5">
        <v>4590</v>
      </c>
      <c r="H11">
        <v>-2.27</v>
      </c>
      <c r="I11">
        <v>12</v>
      </c>
      <c r="J11">
        <v>0.25</v>
      </c>
      <c r="K11" t="s">
        <v>76</v>
      </c>
      <c r="L11">
        <v>11</v>
      </c>
      <c r="M11">
        <v>12</v>
      </c>
      <c r="N11">
        <v>0.17</v>
      </c>
      <c r="O11">
        <v>10.199999999999999</v>
      </c>
      <c r="P11">
        <v>-7.37</v>
      </c>
      <c r="Q11">
        <v>16.899999999999999</v>
      </c>
      <c r="R11">
        <v>3.5590000000000002</v>
      </c>
      <c r="S11" s="5" t="s">
        <v>285</v>
      </c>
      <c r="T11" s="2">
        <v>0.19867951388888888</v>
      </c>
      <c r="U11" t="s">
        <v>127</v>
      </c>
      <c r="V11">
        <v>170.53</v>
      </c>
      <c r="W11">
        <v>-9.07</v>
      </c>
      <c r="X11">
        <v>27.2</v>
      </c>
      <c r="Y11">
        <v>35</v>
      </c>
      <c r="Z11">
        <v>-26.4</v>
      </c>
      <c r="AA11">
        <v>4.4000000000000004</v>
      </c>
      <c r="AB11">
        <v>-4.3</v>
      </c>
      <c r="AC11" s="8"/>
      <c r="AD11" s="4">
        <v>-133</v>
      </c>
      <c r="AE11" s="4">
        <v>57</v>
      </c>
      <c r="AF11" s="4">
        <v>-140.1</v>
      </c>
      <c r="AG11" s="4" t="s">
        <v>109</v>
      </c>
      <c r="AH11" s="4" t="s">
        <v>109</v>
      </c>
      <c r="AI11" s="4">
        <v>1.53</v>
      </c>
      <c r="AJ11" s="4">
        <v>0.17</v>
      </c>
      <c r="AK11" s="4">
        <v>0.5</v>
      </c>
      <c r="AL11" s="4">
        <v>19.059999999999999</v>
      </c>
      <c r="AM11" s="4">
        <v>4.0599999999999996</v>
      </c>
      <c r="AN11" s="4">
        <v>8.82</v>
      </c>
      <c r="AO11" s="4">
        <v>9.2799999999999994</v>
      </c>
    </row>
    <row r="12" spans="1:41" x14ac:dyDescent="0.2">
      <c r="A12" s="5" t="s">
        <v>15</v>
      </c>
      <c r="B12">
        <v>1.07</v>
      </c>
      <c r="C12">
        <v>7.7</v>
      </c>
      <c r="D12">
        <v>0.14000000000000001</v>
      </c>
      <c r="E12">
        <v>12.7</v>
      </c>
      <c r="F12">
        <v>-2.27</v>
      </c>
      <c r="G12" s="5">
        <v>4833</v>
      </c>
      <c r="H12">
        <v>-1.89</v>
      </c>
      <c r="I12">
        <v>12.5</v>
      </c>
      <c r="J12">
        <v>0.5</v>
      </c>
      <c r="K12" t="s">
        <v>82</v>
      </c>
      <c r="L12">
        <v>30</v>
      </c>
      <c r="N12">
        <v>0.93</v>
      </c>
      <c r="O12">
        <v>7</v>
      </c>
      <c r="P12">
        <v>-8.17</v>
      </c>
      <c r="Q12">
        <v>25</v>
      </c>
      <c r="R12">
        <v>3.8849999999999998</v>
      </c>
      <c r="S12" s="5" t="s">
        <v>286</v>
      </c>
      <c r="T12" s="2">
        <v>0.21813379629629628</v>
      </c>
      <c r="U12" t="s">
        <v>128</v>
      </c>
      <c r="V12">
        <v>244.51</v>
      </c>
      <c r="W12">
        <v>-35.03</v>
      </c>
      <c r="X12">
        <v>12.1</v>
      </c>
      <c r="Y12">
        <v>16.600000000000001</v>
      </c>
      <c r="Z12">
        <v>-4.2</v>
      </c>
      <c r="AA12">
        <v>-8.9</v>
      </c>
      <c r="AB12">
        <v>-6.9</v>
      </c>
      <c r="AC12" s="8"/>
      <c r="AD12" s="4">
        <v>320.5</v>
      </c>
      <c r="AE12" s="4">
        <v>0.6</v>
      </c>
      <c r="AF12" s="4">
        <v>303.8</v>
      </c>
      <c r="AG12" s="4">
        <v>10.4</v>
      </c>
      <c r="AH12" s="4">
        <v>0.5</v>
      </c>
      <c r="AI12" s="4">
        <v>1.86</v>
      </c>
      <c r="AJ12" s="4">
        <v>0.09</v>
      </c>
      <c r="AK12" s="4">
        <v>0.51</v>
      </c>
      <c r="AL12" s="4">
        <v>14.25</v>
      </c>
      <c r="AM12" s="4">
        <v>5.09</v>
      </c>
      <c r="AN12" s="4">
        <v>7.43</v>
      </c>
      <c r="AO12" s="4">
        <v>8.82</v>
      </c>
    </row>
    <row r="13" spans="1:41" x14ac:dyDescent="0.2">
      <c r="A13" s="5" t="s">
        <v>16</v>
      </c>
      <c r="B13">
        <v>4.0999999999999996</v>
      </c>
      <c r="C13">
        <v>7.9</v>
      </c>
      <c r="D13">
        <v>0.52</v>
      </c>
      <c r="E13">
        <v>12.5</v>
      </c>
      <c r="F13">
        <v>-1.71</v>
      </c>
      <c r="G13" s="5">
        <v>5024</v>
      </c>
      <c r="H13">
        <v>-2.06</v>
      </c>
      <c r="I13">
        <v>12.25</v>
      </c>
      <c r="J13">
        <v>0.25</v>
      </c>
      <c r="K13" t="s">
        <v>76</v>
      </c>
      <c r="L13">
        <v>12</v>
      </c>
      <c r="M13" t="s">
        <v>84</v>
      </c>
      <c r="N13">
        <v>0.81</v>
      </c>
      <c r="O13">
        <v>18.399999999999999</v>
      </c>
      <c r="P13">
        <v>-8.7100000000000009</v>
      </c>
      <c r="Q13">
        <v>25.8</v>
      </c>
      <c r="R13">
        <v>3.8660000000000001</v>
      </c>
      <c r="S13" s="5" t="s">
        <v>287</v>
      </c>
      <c r="T13" s="2">
        <v>0.2251283564814815</v>
      </c>
      <c r="U13" t="s">
        <v>129</v>
      </c>
      <c r="V13">
        <v>227.23</v>
      </c>
      <c r="W13">
        <v>-29.35</v>
      </c>
      <c r="X13">
        <v>12.9</v>
      </c>
      <c r="Y13">
        <v>18.8</v>
      </c>
      <c r="Z13">
        <v>-7.7</v>
      </c>
      <c r="AA13">
        <v>-8.3000000000000007</v>
      </c>
      <c r="AB13">
        <v>-6.3</v>
      </c>
      <c r="AC13" s="8"/>
      <c r="AD13" s="4">
        <v>205.8</v>
      </c>
      <c r="AE13" s="4">
        <v>0.4</v>
      </c>
      <c r="AF13" s="4">
        <v>189</v>
      </c>
      <c r="AG13" s="4">
        <v>5.3</v>
      </c>
      <c r="AH13" s="4">
        <v>0.4</v>
      </c>
      <c r="AI13" s="4">
        <v>1.7</v>
      </c>
      <c r="AJ13" s="4">
        <v>0.16</v>
      </c>
      <c r="AK13" s="4">
        <v>0.65</v>
      </c>
      <c r="AL13" s="4">
        <v>16.02</v>
      </c>
      <c r="AM13" s="4">
        <v>4.08</v>
      </c>
      <c r="AN13" s="4">
        <v>7.83</v>
      </c>
      <c r="AO13" s="4">
        <v>8.9499999999999993</v>
      </c>
    </row>
    <row r="14" spans="1:41" x14ac:dyDescent="0.2">
      <c r="A14" s="5" t="s">
        <v>17</v>
      </c>
      <c r="B14">
        <v>8.26</v>
      </c>
      <c r="C14">
        <v>11.6</v>
      </c>
      <c r="D14">
        <v>0.71</v>
      </c>
      <c r="E14">
        <v>12.7</v>
      </c>
      <c r="F14">
        <v>-1.86</v>
      </c>
      <c r="G14" s="5">
        <v>5053</v>
      </c>
      <c r="H14">
        <v>-2.2999999999999998</v>
      </c>
      <c r="I14">
        <v>12.25</v>
      </c>
      <c r="J14">
        <v>0.38</v>
      </c>
      <c r="K14" t="s">
        <v>82</v>
      </c>
      <c r="L14">
        <v>12</v>
      </c>
      <c r="M14" t="s">
        <v>84</v>
      </c>
      <c r="N14">
        <v>0.52</v>
      </c>
      <c r="O14">
        <v>17.8</v>
      </c>
      <c r="P14">
        <v>-6.76</v>
      </c>
      <c r="Q14">
        <v>7.2</v>
      </c>
      <c r="R14">
        <v>2.1960000000000002</v>
      </c>
      <c r="S14" s="5" t="s">
        <v>288</v>
      </c>
      <c r="T14" s="2">
        <v>0.28402094907407405</v>
      </c>
      <c r="U14" t="s">
        <v>130</v>
      </c>
      <c r="V14">
        <v>245.63</v>
      </c>
      <c r="W14">
        <v>-16</v>
      </c>
      <c r="X14">
        <v>10.8</v>
      </c>
      <c r="Y14">
        <v>15.8</v>
      </c>
      <c r="Z14">
        <v>-4.3</v>
      </c>
      <c r="AA14">
        <v>-9.4</v>
      </c>
      <c r="AB14">
        <v>-3</v>
      </c>
      <c r="AC14" s="8"/>
      <c r="AD14" s="4">
        <v>148.9</v>
      </c>
      <c r="AE14" s="4">
        <v>1.2</v>
      </c>
      <c r="AF14" s="4">
        <v>132</v>
      </c>
      <c r="AG14" s="4" t="s">
        <v>109</v>
      </c>
      <c r="AH14" s="4" t="s">
        <v>109</v>
      </c>
      <c r="AI14" s="4">
        <v>1.38</v>
      </c>
      <c r="AJ14" s="4">
        <v>0.31</v>
      </c>
      <c r="AK14" s="4">
        <v>0.98</v>
      </c>
      <c r="AL14" s="4">
        <v>18.899999999999999</v>
      </c>
      <c r="AM14" s="4">
        <v>2.9</v>
      </c>
      <c r="AN14" s="4">
        <v>7.91</v>
      </c>
      <c r="AO14" s="4">
        <v>8.84</v>
      </c>
    </row>
    <row r="15" spans="1:41" x14ac:dyDescent="0.2">
      <c r="A15" s="5" t="s">
        <v>18</v>
      </c>
      <c r="B15">
        <v>1.25</v>
      </c>
      <c r="C15">
        <v>22.5</v>
      </c>
      <c r="D15">
        <v>5.6000000000000001E-2</v>
      </c>
      <c r="E15">
        <v>12.3</v>
      </c>
      <c r="F15">
        <v>-1.98</v>
      </c>
      <c r="G15" s="5">
        <v>5272</v>
      </c>
      <c r="H15">
        <v>-1.5</v>
      </c>
      <c r="I15">
        <v>11.75</v>
      </c>
      <c r="J15">
        <v>0.25</v>
      </c>
      <c r="K15" t="s">
        <v>76</v>
      </c>
      <c r="L15">
        <v>22</v>
      </c>
      <c r="N15">
        <v>0.08</v>
      </c>
      <c r="O15">
        <v>12</v>
      </c>
      <c r="P15">
        <v>-8.8800000000000008</v>
      </c>
      <c r="Q15">
        <v>32.1</v>
      </c>
      <c r="R15">
        <v>4.2539999999999996</v>
      </c>
      <c r="S15" s="5" t="s">
        <v>289</v>
      </c>
      <c r="T15" s="2">
        <v>0.318153587962963</v>
      </c>
      <c r="U15" t="s">
        <v>131</v>
      </c>
      <c r="V15">
        <v>180.37</v>
      </c>
      <c r="W15">
        <v>25.24</v>
      </c>
      <c r="X15">
        <v>82.6</v>
      </c>
      <c r="Y15">
        <v>89.9</v>
      </c>
      <c r="Z15">
        <v>-74.7</v>
      </c>
      <c r="AA15">
        <v>-0.5</v>
      </c>
      <c r="AB15">
        <v>35.200000000000003</v>
      </c>
      <c r="AC15" s="8"/>
      <c r="AD15" s="4">
        <v>-20.2</v>
      </c>
      <c r="AE15" s="4">
        <v>0.5</v>
      </c>
      <c r="AF15" s="4">
        <v>-25.2</v>
      </c>
      <c r="AG15" s="4">
        <v>4</v>
      </c>
      <c r="AH15" s="4">
        <v>0.6</v>
      </c>
      <c r="AI15" s="4">
        <v>1.37</v>
      </c>
      <c r="AJ15" s="4">
        <v>0.32</v>
      </c>
      <c r="AK15" s="4">
        <v>0.89</v>
      </c>
      <c r="AL15" s="4">
        <v>19.670000000000002</v>
      </c>
      <c r="AM15" s="4">
        <v>1.62</v>
      </c>
      <c r="AN15" s="4">
        <v>9.8699999999999992</v>
      </c>
      <c r="AO15" s="4">
        <v>10.63</v>
      </c>
    </row>
    <row r="16" spans="1:41" x14ac:dyDescent="0.2">
      <c r="A16" s="5" t="s">
        <v>19</v>
      </c>
      <c r="B16">
        <v>4.68</v>
      </c>
      <c r="C16">
        <v>11.7</v>
      </c>
      <c r="D16">
        <v>0.4</v>
      </c>
      <c r="E16">
        <v>11.4</v>
      </c>
      <c r="F16">
        <v>-1.34</v>
      </c>
      <c r="G16" s="5">
        <v>5286</v>
      </c>
      <c r="H16">
        <v>-1.7</v>
      </c>
      <c r="I16">
        <v>12.5</v>
      </c>
      <c r="J16">
        <v>0.38</v>
      </c>
      <c r="K16" t="s">
        <v>82</v>
      </c>
      <c r="L16" s="1">
        <v>11293</v>
      </c>
      <c r="M16" t="s">
        <v>85</v>
      </c>
      <c r="N16">
        <v>0.8</v>
      </c>
      <c r="O16">
        <v>8.9</v>
      </c>
      <c r="P16">
        <v>-8.74</v>
      </c>
      <c r="Q16">
        <v>42.7</v>
      </c>
      <c r="R16">
        <v>4.6280000000000001</v>
      </c>
      <c r="S16" s="5" t="s">
        <v>290</v>
      </c>
      <c r="T16" s="2">
        <v>0.3321412037037037</v>
      </c>
      <c r="U16" t="s">
        <v>132</v>
      </c>
      <c r="V16">
        <v>195.12</v>
      </c>
      <c r="W16">
        <v>25.54</v>
      </c>
      <c r="X16">
        <v>34.700000000000003</v>
      </c>
      <c r="Y16">
        <v>41.9</v>
      </c>
      <c r="Z16">
        <v>-30.2</v>
      </c>
      <c r="AA16">
        <v>-8.1999999999999993</v>
      </c>
      <c r="AB16">
        <v>15</v>
      </c>
      <c r="AC16" s="8"/>
      <c r="AD16" s="4" t="s">
        <v>109</v>
      </c>
      <c r="AE16" s="4" t="s">
        <v>109</v>
      </c>
      <c r="AF16" s="4" t="s">
        <v>109</v>
      </c>
      <c r="AG16" s="4" t="s">
        <v>109</v>
      </c>
      <c r="AH16" s="4" t="s">
        <v>109</v>
      </c>
      <c r="AI16" s="4">
        <v>0.5</v>
      </c>
      <c r="AJ16" s="4">
        <v>0.25</v>
      </c>
      <c r="AK16" s="4">
        <v>0.21</v>
      </c>
      <c r="AL16" s="4" t="s">
        <v>109</v>
      </c>
      <c r="AM16" s="4" t="s">
        <v>109</v>
      </c>
      <c r="AN16" s="4" t="s">
        <v>109</v>
      </c>
      <c r="AO16" s="4">
        <v>7.7</v>
      </c>
    </row>
    <row r="17" spans="1:41" x14ac:dyDescent="0.2">
      <c r="A17" s="5" t="s">
        <v>20</v>
      </c>
      <c r="B17">
        <v>7.13</v>
      </c>
      <c r="C17">
        <v>4.2</v>
      </c>
      <c r="D17">
        <v>1.69</v>
      </c>
      <c r="E17">
        <v>12.5</v>
      </c>
      <c r="F17">
        <v>-1.41</v>
      </c>
      <c r="G17" s="5">
        <v>5466</v>
      </c>
      <c r="H17">
        <v>-2.31</v>
      </c>
      <c r="I17">
        <v>12.5</v>
      </c>
      <c r="J17">
        <v>0.25</v>
      </c>
      <c r="K17" t="s">
        <v>76</v>
      </c>
      <c r="L17" s="1">
        <v>11263</v>
      </c>
      <c r="M17" t="s">
        <v>84</v>
      </c>
      <c r="N17">
        <v>0.57999999999999996</v>
      </c>
      <c r="O17">
        <v>16.3</v>
      </c>
      <c r="P17">
        <v>-6.98</v>
      </c>
      <c r="Q17">
        <v>8.6</v>
      </c>
      <c r="R17">
        <v>2.4529999999999998</v>
      </c>
      <c r="S17" s="5" t="s">
        <v>291</v>
      </c>
      <c r="T17" s="2">
        <v>0.38053009259259263</v>
      </c>
      <c r="U17" t="s">
        <v>133</v>
      </c>
      <c r="V17">
        <v>261.32</v>
      </c>
      <c r="W17">
        <v>7</v>
      </c>
      <c r="X17">
        <v>39.4</v>
      </c>
      <c r="Y17">
        <v>41.4</v>
      </c>
      <c r="Z17">
        <v>-5.9</v>
      </c>
      <c r="AA17">
        <v>-38.700000000000003</v>
      </c>
      <c r="AB17">
        <v>4.8</v>
      </c>
      <c r="AC17" s="8"/>
      <c r="AD17" s="4">
        <v>34.299999999999997</v>
      </c>
      <c r="AE17" s="4">
        <v>1.9</v>
      </c>
      <c r="AF17" s="4">
        <v>20.7</v>
      </c>
      <c r="AG17" s="4" t="s">
        <v>109</v>
      </c>
      <c r="AH17" s="4" t="s">
        <v>109</v>
      </c>
      <c r="AI17" s="4" t="s">
        <v>109</v>
      </c>
      <c r="AJ17" s="4" t="s">
        <v>109</v>
      </c>
      <c r="AK17" s="4" t="s">
        <v>109</v>
      </c>
      <c r="AL17" s="4" t="s">
        <v>109</v>
      </c>
      <c r="AM17" s="4" t="s">
        <v>109</v>
      </c>
      <c r="AN17" s="4" t="s">
        <v>109</v>
      </c>
      <c r="AO17" s="4" t="s">
        <v>109</v>
      </c>
    </row>
    <row r="18" spans="1:41" x14ac:dyDescent="0.2">
      <c r="A18" s="5" t="s">
        <v>21</v>
      </c>
      <c r="B18">
        <v>1.79</v>
      </c>
      <c r="C18">
        <v>18.2</v>
      </c>
      <c r="D18">
        <v>9.8000000000000004E-2</v>
      </c>
      <c r="E18">
        <v>13.6</v>
      </c>
      <c r="F18">
        <v>-2.2000000000000002</v>
      </c>
      <c r="G18" s="5">
        <v>5904</v>
      </c>
      <c r="H18">
        <v>-1.33</v>
      </c>
      <c r="I18">
        <v>11.5</v>
      </c>
      <c r="J18">
        <v>0.25</v>
      </c>
      <c r="K18" t="s">
        <v>76</v>
      </c>
      <c r="L18">
        <v>8</v>
      </c>
      <c r="M18" t="s">
        <v>77</v>
      </c>
      <c r="N18">
        <v>0.31</v>
      </c>
      <c r="O18">
        <v>6.2</v>
      </c>
      <c r="P18">
        <v>-8.81</v>
      </c>
      <c r="Q18">
        <v>37</v>
      </c>
      <c r="R18">
        <v>4.4569999999999999</v>
      </c>
      <c r="S18" s="5" t="s">
        <v>292</v>
      </c>
      <c r="T18" s="2">
        <v>0.38336921296296295</v>
      </c>
      <c r="U18" t="s">
        <v>134</v>
      </c>
      <c r="V18">
        <v>282.19</v>
      </c>
      <c r="W18">
        <v>-11.25</v>
      </c>
      <c r="X18">
        <v>9.6</v>
      </c>
      <c r="Y18">
        <v>11.1</v>
      </c>
      <c r="Z18">
        <v>2</v>
      </c>
      <c r="AA18">
        <v>-9.1999999999999993</v>
      </c>
      <c r="AB18">
        <v>-1.9</v>
      </c>
      <c r="AC18" s="8"/>
      <c r="AD18" s="4">
        <v>101.6</v>
      </c>
      <c r="AE18" s="4">
        <v>0.7</v>
      </c>
      <c r="AF18" s="4">
        <v>89.2</v>
      </c>
      <c r="AG18" s="4">
        <v>13.4</v>
      </c>
      <c r="AH18" s="4">
        <v>1.2</v>
      </c>
      <c r="AI18" s="4">
        <v>1.56</v>
      </c>
      <c r="AJ18" s="4">
        <v>0.25</v>
      </c>
      <c r="AK18" s="4">
        <v>0.8</v>
      </c>
      <c r="AL18" s="4">
        <v>15.08</v>
      </c>
      <c r="AM18" s="4">
        <v>4.66</v>
      </c>
      <c r="AN18" s="4">
        <v>8.24</v>
      </c>
      <c r="AO18" s="4">
        <v>9.15</v>
      </c>
    </row>
    <row r="19" spans="1:41" x14ac:dyDescent="0.2">
      <c r="A19" s="5" t="s">
        <v>22</v>
      </c>
      <c r="B19">
        <v>2.11</v>
      </c>
      <c r="C19">
        <v>12.7</v>
      </c>
      <c r="D19">
        <v>0.17</v>
      </c>
      <c r="E19">
        <v>12.3</v>
      </c>
      <c r="F19">
        <v>-1.73</v>
      </c>
      <c r="G19" s="5">
        <v>5927</v>
      </c>
      <c r="H19">
        <v>-0.28999999999999998</v>
      </c>
      <c r="I19">
        <v>10.75</v>
      </c>
      <c r="J19">
        <v>0.38</v>
      </c>
      <c r="K19" t="s">
        <v>76</v>
      </c>
      <c r="L19">
        <v>16</v>
      </c>
      <c r="M19" t="s">
        <v>86</v>
      </c>
      <c r="N19">
        <v>-1</v>
      </c>
      <c r="O19">
        <v>4.5999999999999996</v>
      </c>
      <c r="P19">
        <v>-7.81</v>
      </c>
      <c r="Q19">
        <v>25.4</v>
      </c>
      <c r="R19">
        <v>4.1559999999999997</v>
      </c>
      <c r="S19" s="5" t="s">
        <v>293</v>
      </c>
      <c r="T19" s="2">
        <v>0.38954942129629627</v>
      </c>
      <c r="U19" t="s">
        <v>135</v>
      </c>
      <c r="V19">
        <v>292.27</v>
      </c>
      <c r="W19">
        <v>-19.02</v>
      </c>
      <c r="X19">
        <v>8.1</v>
      </c>
      <c r="Y19">
        <v>9.1</v>
      </c>
      <c r="Z19">
        <v>2.9</v>
      </c>
      <c r="AA19">
        <v>-7.1</v>
      </c>
      <c r="AB19">
        <v>-2.6</v>
      </c>
      <c r="AC19" s="8"/>
      <c r="AD19" s="4" t="s">
        <v>109</v>
      </c>
      <c r="AE19" s="4" t="s">
        <v>109</v>
      </c>
      <c r="AF19" s="4" t="s">
        <v>109</v>
      </c>
      <c r="AG19" s="4" t="s">
        <v>109</v>
      </c>
      <c r="AH19" s="4" t="s">
        <v>109</v>
      </c>
      <c r="AI19" s="4">
        <v>0.75</v>
      </c>
      <c r="AJ19" s="4">
        <v>1.87</v>
      </c>
      <c r="AK19" s="4">
        <v>2.1</v>
      </c>
      <c r="AL19" s="4">
        <v>23.1</v>
      </c>
      <c r="AM19" s="4">
        <v>0.84</v>
      </c>
      <c r="AN19" s="4">
        <v>8.93</v>
      </c>
      <c r="AO19" s="4">
        <v>8.8000000000000007</v>
      </c>
    </row>
    <row r="20" spans="1:41" x14ac:dyDescent="0.2">
      <c r="A20" s="5" t="s">
        <v>23</v>
      </c>
      <c r="B20">
        <v>3.89</v>
      </c>
      <c r="C20">
        <v>6.6</v>
      </c>
      <c r="D20">
        <v>0.59</v>
      </c>
      <c r="E20">
        <v>11.5</v>
      </c>
      <c r="F20">
        <v>-1.33</v>
      </c>
      <c r="G20" s="5">
        <v>5986</v>
      </c>
      <c r="H20">
        <v>-1.63</v>
      </c>
      <c r="I20">
        <v>12.25</v>
      </c>
      <c r="J20">
        <v>0.75</v>
      </c>
      <c r="K20" t="s">
        <v>82</v>
      </c>
      <c r="L20">
        <v>30</v>
      </c>
      <c r="N20">
        <v>0.97</v>
      </c>
      <c r="O20">
        <v>4.8</v>
      </c>
      <c r="P20">
        <v>-8.44</v>
      </c>
      <c r="Q20">
        <v>33.1</v>
      </c>
      <c r="R20">
        <v>4.2590000000000003</v>
      </c>
      <c r="S20" s="5" t="s">
        <v>294</v>
      </c>
      <c r="T20" s="2">
        <v>0.42050810185185189</v>
      </c>
      <c r="U20" t="s">
        <v>136</v>
      </c>
      <c r="V20">
        <v>240.15</v>
      </c>
      <c r="W20">
        <v>41.86</v>
      </c>
      <c r="X20">
        <v>92.5</v>
      </c>
      <c r="Y20">
        <v>95.7</v>
      </c>
      <c r="Z20">
        <v>-34.299999999999997</v>
      </c>
      <c r="AA20">
        <v>-59.7</v>
      </c>
      <c r="AB20">
        <v>61.7</v>
      </c>
      <c r="AC20" s="8"/>
      <c r="AD20" s="4">
        <v>83.4</v>
      </c>
      <c r="AE20" s="4">
        <v>8.4</v>
      </c>
      <c r="AF20" s="4">
        <v>75.900000000000006</v>
      </c>
      <c r="AG20" s="4" t="s">
        <v>109</v>
      </c>
      <c r="AH20" s="4" t="s">
        <v>109</v>
      </c>
      <c r="AI20" s="4">
        <v>0.99</v>
      </c>
      <c r="AJ20" s="4">
        <v>0.41</v>
      </c>
      <c r="AK20" s="4">
        <v>0.65</v>
      </c>
      <c r="AL20" s="4">
        <v>23.26</v>
      </c>
      <c r="AM20" s="4">
        <v>0.01</v>
      </c>
      <c r="AN20" s="4">
        <v>9.65</v>
      </c>
      <c r="AO20" s="4">
        <v>9.8800000000000008</v>
      </c>
    </row>
    <row r="21" spans="1:41" x14ac:dyDescent="0.2">
      <c r="A21" s="5" t="s">
        <v>24</v>
      </c>
      <c r="B21">
        <v>3.38</v>
      </c>
      <c r="C21">
        <v>4.2</v>
      </c>
      <c r="D21">
        <v>0.81</v>
      </c>
      <c r="E21">
        <v>12.7</v>
      </c>
      <c r="F21">
        <v>-0.64</v>
      </c>
      <c r="G21" s="5">
        <v>6101</v>
      </c>
      <c r="H21">
        <v>-1.98</v>
      </c>
      <c r="I21">
        <v>12.25</v>
      </c>
      <c r="J21">
        <v>0.5</v>
      </c>
      <c r="K21" t="s">
        <v>78</v>
      </c>
      <c r="L21">
        <v>30</v>
      </c>
      <c r="N21">
        <v>0.84</v>
      </c>
      <c r="O21">
        <v>11.2</v>
      </c>
      <c r="P21">
        <v>-6.94</v>
      </c>
      <c r="Q21">
        <v>11.8</v>
      </c>
      <c r="R21">
        <v>2.98</v>
      </c>
      <c r="S21" s="5" t="s">
        <v>295</v>
      </c>
      <c r="T21" s="2">
        <v>0.42889837962962962</v>
      </c>
      <c r="U21" t="s">
        <v>137</v>
      </c>
      <c r="V21">
        <v>277.23</v>
      </c>
      <c r="W21">
        <v>8.64</v>
      </c>
      <c r="X21">
        <v>4.9000000000000004</v>
      </c>
      <c r="Y21">
        <v>8.8000000000000007</v>
      </c>
      <c r="Z21">
        <v>0.6</v>
      </c>
      <c r="AA21">
        <v>-4.8</v>
      </c>
      <c r="AB21">
        <v>0.7</v>
      </c>
      <c r="AC21" s="8"/>
      <c r="AD21" s="4">
        <v>494</v>
      </c>
      <c r="AE21" s="4">
        <v>0.2</v>
      </c>
      <c r="AF21" s="4">
        <v>482.9</v>
      </c>
      <c r="AG21" s="4">
        <v>5</v>
      </c>
      <c r="AH21" s="4">
        <v>0.2</v>
      </c>
      <c r="AI21" s="4">
        <v>1.29</v>
      </c>
      <c r="AJ21" s="4">
        <v>1.3</v>
      </c>
      <c r="AK21" s="4">
        <v>3.1</v>
      </c>
      <c r="AL21" s="4">
        <v>19</v>
      </c>
      <c r="AM21" s="4">
        <v>2.71</v>
      </c>
      <c r="AN21" s="4">
        <v>8.61</v>
      </c>
      <c r="AO21" s="4">
        <v>9.27</v>
      </c>
    </row>
    <row r="22" spans="1:41" x14ac:dyDescent="0.2">
      <c r="A22" s="5" t="s">
        <v>25</v>
      </c>
      <c r="B22">
        <v>5.99</v>
      </c>
      <c r="C22">
        <v>5.04</v>
      </c>
      <c r="D22">
        <v>1.19</v>
      </c>
      <c r="E22">
        <v>12.2</v>
      </c>
      <c r="F22">
        <v>-1.35</v>
      </c>
      <c r="G22" s="5">
        <v>6121</v>
      </c>
      <c r="H22">
        <v>-1.18</v>
      </c>
      <c r="I22">
        <v>11.5</v>
      </c>
      <c r="J22">
        <v>0.38</v>
      </c>
      <c r="K22" t="s">
        <v>76</v>
      </c>
      <c r="L22">
        <v>13</v>
      </c>
      <c r="M22" t="s">
        <v>87</v>
      </c>
      <c r="N22">
        <v>-0.06</v>
      </c>
      <c r="O22">
        <v>5.9</v>
      </c>
      <c r="P22">
        <v>-7.19</v>
      </c>
      <c r="Q22">
        <v>20.8</v>
      </c>
      <c r="R22">
        <v>4.07</v>
      </c>
      <c r="S22" s="5" t="s">
        <v>296</v>
      </c>
      <c r="T22" s="2">
        <v>0.47866666666666668</v>
      </c>
      <c r="U22" t="s">
        <v>138</v>
      </c>
      <c r="V22">
        <v>202.31</v>
      </c>
      <c r="W22">
        <v>71.8</v>
      </c>
      <c r="X22">
        <v>108.7</v>
      </c>
      <c r="Y22">
        <v>111.2</v>
      </c>
      <c r="Z22">
        <v>-31.4</v>
      </c>
      <c r="AA22">
        <v>-12.9</v>
      </c>
      <c r="AB22">
        <v>103.2</v>
      </c>
      <c r="AC22" s="8"/>
      <c r="AD22" s="4">
        <v>74.5</v>
      </c>
      <c r="AE22" s="4">
        <v>2.1</v>
      </c>
      <c r="AF22" s="4">
        <v>76.599999999999994</v>
      </c>
      <c r="AG22" s="4" t="s">
        <v>109</v>
      </c>
      <c r="AH22" s="4" t="s">
        <v>109</v>
      </c>
      <c r="AI22" s="4">
        <v>0.93</v>
      </c>
      <c r="AJ22" s="4">
        <v>0.33</v>
      </c>
      <c r="AK22" s="4">
        <v>0.51</v>
      </c>
      <c r="AL22" s="4">
        <v>23.01</v>
      </c>
      <c r="AM22" s="4">
        <v>0.11</v>
      </c>
      <c r="AN22" s="4">
        <v>9.7200000000000006</v>
      </c>
      <c r="AO22" s="4">
        <v>9.42</v>
      </c>
    </row>
    <row r="23" spans="1:41" x14ac:dyDescent="0.2">
      <c r="A23" s="5" t="s">
        <v>26</v>
      </c>
      <c r="B23">
        <v>5.0199999999999996</v>
      </c>
      <c r="C23">
        <v>3.02</v>
      </c>
      <c r="D23">
        <v>1.66</v>
      </c>
      <c r="E23">
        <v>12.5</v>
      </c>
      <c r="F23">
        <v>-1.47</v>
      </c>
      <c r="G23" s="5">
        <v>6144</v>
      </c>
      <c r="H23">
        <v>-1.82</v>
      </c>
      <c r="I23">
        <v>12.75</v>
      </c>
      <c r="J23">
        <v>0.5</v>
      </c>
      <c r="K23" t="s">
        <v>78</v>
      </c>
      <c r="L23">
        <v>30</v>
      </c>
      <c r="N23">
        <v>1</v>
      </c>
      <c r="O23">
        <v>2.7</v>
      </c>
      <c r="P23">
        <v>-6.85</v>
      </c>
      <c r="Q23">
        <v>10.4</v>
      </c>
      <c r="R23">
        <v>2.9750000000000001</v>
      </c>
      <c r="S23" s="5" t="s">
        <v>297</v>
      </c>
      <c r="T23" s="2">
        <v>0.49951967592592594</v>
      </c>
      <c r="U23" t="s">
        <v>139</v>
      </c>
      <c r="V23">
        <v>260.99</v>
      </c>
      <c r="W23">
        <v>70.75</v>
      </c>
      <c r="X23">
        <v>48.3</v>
      </c>
      <c r="Y23">
        <v>49.3</v>
      </c>
      <c r="Z23">
        <v>-2.5</v>
      </c>
      <c r="AA23">
        <v>-15.7</v>
      </c>
      <c r="AB23">
        <v>45.6</v>
      </c>
      <c r="AC23" s="8"/>
      <c r="AD23" s="4" t="s">
        <v>109</v>
      </c>
      <c r="AE23" s="4" t="s">
        <v>109</v>
      </c>
      <c r="AF23" s="4" t="s">
        <v>109</v>
      </c>
      <c r="AG23" s="4" t="s">
        <v>109</v>
      </c>
      <c r="AH23" s="4" t="s">
        <v>109</v>
      </c>
      <c r="AI23" s="4">
        <v>0.5</v>
      </c>
      <c r="AJ23" s="4">
        <v>0.33</v>
      </c>
      <c r="AK23" s="4">
        <v>0.26</v>
      </c>
      <c r="AL23" s="4" t="s">
        <v>109</v>
      </c>
      <c r="AM23" s="4" t="s">
        <v>109</v>
      </c>
      <c r="AN23" s="4" t="s">
        <v>109</v>
      </c>
      <c r="AO23" s="4">
        <v>8.6199999999999992</v>
      </c>
    </row>
    <row r="24" spans="1:41" x14ac:dyDescent="0.2">
      <c r="A24" s="5" t="s">
        <v>27</v>
      </c>
      <c r="B24">
        <v>1</v>
      </c>
      <c r="C24">
        <v>8</v>
      </c>
      <c r="D24">
        <v>0.13</v>
      </c>
      <c r="E24">
        <v>12.5</v>
      </c>
      <c r="F24">
        <v>-1.76</v>
      </c>
      <c r="G24" s="5">
        <v>6171</v>
      </c>
      <c r="H24">
        <v>-1.03</v>
      </c>
      <c r="I24">
        <v>12</v>
      </c>
      <c r="J24">
        <v>0.75</v>
      </c>
      <c r="K24" t="s">
        <v>76</v>
      </c>
      <c r="L24">
        <v>13</v>
      </c>
      <c r="N24">
        <v>-0.73</v>
      </c>
      <c r="O24">
        <v>3.3</v>
      </c>
      <c r="P24">
        <v>-7.12</v>
      </c>
      <c r="Q24">
        <v>18.2</v>
      </c>
      <c r="R24">
        <v>3.8319999999999999</v>
      </c>
      <c r="S24" s="5" t="s">
        <v>298</v>
      </c>
      <c r="T24" s="2">
        <v>0.50701736111111118</v>
      </c>
      <c r="U24" t="s">
        <v>140</v>
      </c>
      <c r="V24">
        <v>252.85</v>
      </c>
      <c r="W24">
        <v>77.19</v>
      </c>
      <c r="X24">
        <v>19.3</v>
      </c>
      <c r="Y24">
        <v>21.4</v>
      </c>
      <c r="Z24">
        <v>-1.3</v>
      </c>
      <c r="AA24">
        <v>-4.0999999999999996</v>
      </c>
      <c r="AB24">
        <v>18.8</v>
      </c>
      <c r="AC24" s="8"/>
      <c r="AD24" s="4">
        <v>183.2</v>
      </c>
      <c r="AE24" s="4">
        <v>0.7</v>
      </c>
      <c r="AF24" s="4">
        <v>186.1</v>
      </c>
      <c r="AG24" s="4">
        <v>2.6</v>
      </c>
      <c r="AH24" s="4">
        <v>0.7</v>
      </c>
      <c r="AI24" s="4">
        <v>1.83</v>
      </c>
      <c r="AJ24" s="4">
        <v>0.09</v>
      </c>
      <c r="AK24" s="4">
        <v>0.48</v>
      </c>
      <c r="AL24" s="4">
        <v>17.38</v>
      </c>
      <c r="AM24" s="4">
        <v>3.63</v>
      </c>
      <c r="AN24" s="4">
        <v>7.41</v>
      </c>
      <c r="AO24" s="4">
        <v>8.74</v>
      </c>
    </row>
    <row r="25" spans="1:41" x14ac:dyDescent="0.2">
      <c r="A25" s="5" t="s">
        <v>28</v>
      </c>
      <c r="B25">
        <v>1.17</v>
      </c>
      <c r="C25">
        <v>4.7</v>
      </c>
      <c r="D25">
        <v>0.25</v>
      </c>
      <c r="E25">
        <v>13.1</v>
      </c>
      <c r="F25">
        <v>-1.98</v>
      </c>
      <c r="G25" s="5">
        <v>6205</v>
      </c>
      <c r="H25">
        <v>-1.58</v>
      </c>
      <c r="I25">
        <v>12</v>
      </c>
      <c r="J25">
        <v>0.38</v>
      </c>
      <c r="K25" t="s">
        <v>82</v>
      </c>
      <c r="L25" t="s">
        <v>88</v>
      </c>
      <c r="N25">
        <v>0.97</v>
      </c>
      <c r="O25">
        <v>8.4</v>
      </c>
      <c r="P25">
        <v>-8.56</v>
      </c>
      <c r="Q25">
        <v>31.7</v>
      </c>
      <c r="R25">
        <v>4.2190000000000003</v>
      </c>
      <c r="S25" s="5" t="s">
        <v>299</v>
      </c>
      <c r="T25" s="2">
        <v>0.51788657407407412</v>
      </c>
      <c r="U25" t="s">
        <v>141</v>
      </c>
      <c r="V25">
        <v>300.99</v>
      </c>
      <c r="W25">
        <v>-9.8800000000000008</v>
      </c>
      <c r="X25">
        <v>5.8</v>
      </c>
      <c r="Y25">
        <v>7.1</v>
      </c>
      <c r="Z25">
        <v>2.9</v>
      </c>
      <c r="AA25">
        <v>-4.9000000000000004</v>
      </c>
      <c r="AB25">
        <v>-1</v>
      </c>
      <c r="AC25" s="8"/>
      <c r="AD25" s="4">
        <v>72.3</v>
      </c>
      <c r="AE25" s="4">
        <v>1.2</v>
      </c>
      <c r="AF25" s="4">
        <v>64.2</v>
      </c>
      <c r="AG25" s="4" t="s">
        <v>109</v>
      </c>
      <c r="AH25" s="4" t="s">
        <v>109</v>
      </c>
      <c r="AI25" s="4">
        <v>1.3</v>
      </c>
      <c r="AJ25" s="4">
        <v>1.75</v>
      </c>
      <c r="AK25" s="4">
        <v>3.91</v>
      </c>
      <c r="AL25" s="4">
        <v>20.58</v>
      </c>
      <c r="AM25" s="4">
        <v>2.06</v>
      </c>
      <c r="AN25" s="4">
        <v>8.8800000000000008</v>
      </c>
      <c r="AO25" s="4">
        <v>9.59</v>
      </c>
    </row>
    <row r="26" spans="1:41" x14ac:dyDescent="0.2">
      <c r="A26" s="5" t="s">
        <v>29</v>
      </c>
      <c r="B26">
        <v>3.8</v>
      </c>
      <c r="C26">
        <v>4.2</v>
      </c>
      <c r="D26">
        <v>0.9</v>
      </c>
      <c r="E26">
        <v>11.6</v>
      </c>
      <c r="F26">
        <v>-1.58</v>
      </c>
      <c r="G26" s="5">
        <v>6218</v>
      </c>
      <c r="H26">
        <v>-1.33</v>
      </c>
      <c r="I26">
        <v>13</v>
      </c>
      <c r="J26">
        <v>0.5</v>
      </c>
      <c r="K26" t="s">
        <v>82</v>
      </c>
      <c r="L26" t="s">
        <v>89</v>
      </c>
      <c r="N26">
        <v>0.98</v>
      </c>
      <c r="O26">
        <v>4.5</v>
      </c>
      <c r="P26">
        <v>-7.31</v>
      </c>
      <c r="Q26">
        <v>21.2</v>
      </c>
      <c r="R26">
        <v>3.9609999999999999</v>
      </c>
      <c r="S26" s="5" t="s">
        <v>300</v>
      </c>
      <c r="T26" s="2">
        <v>0.52685416666666662</v>
      </c>
      <c r="U26" t="s">
        <v>142</v>
      </c>
      <c r="V26">
        <v>300.88</v>
      </c>
      <c r="W26">
        <v>11.67</v>
      </c>
      <c r="X26">
        <v>21.2</v>
      </c>
      <c r="Y26">
        <v>18.5</v>
      </c>
      <c r="Z26">
        <v>10.7</v>
      </c>
      <c r="AA26">
        <v>-17.8</v>
      </c>
      <c r="AB26">
        <v>4.3</v>
      </c>
      <c r="AC26" s="8"/>
      <c r="AD26" s="4">
        <v>-44</v>
      </c>
      <c r="AE26" s="4">
        <v>3</v>
      </c>
      <c r="AF26" s="4">
        <v>-49.7</v>
      </c>
      <c r="AG26" s="4" t="s">
        <v>109</v>
      </c>
      <c r="AH26" s="4" t="s">
        <v>109</v>
      </c>
      <c r="AI26" s="4">
        <v>0.7</v>
      </c>
      <c r="AJ26" s="4">
        <v>1</v>
      </c>
      <c r="AK26" s="4">
        <v>1.05</v>
      </c>
      <c r="AL26" s="4">
        <v>21.82</v>
      </c>
      <c r="AM26" s="4">
        <v>1.1000000000000001</v>
      </c>
      <c r="AN26" s="4">
        <v>9.41</v>
      </c>
      <c r="AO26" s="4">
        <v>9.34</v>
      </c>
    </row>
    <row r="27" spans="1:41" x14ac:dyDescent="0.2">
      <c r="A27" s="5" t="s">
        <v>30</v>
      </c>
      <c r="B27">
        <v>1.69</v>
      </c>
      <c r="C27">
        <v>7.17</v>
      </c>
      <c r="D27">
        <v>0.24</v>
      </c>
      <c r="E27">
        <v>13.8</v>
      </c>
      <c r="F27">
        <v>-1.56</v>
      </c>
      <c r="G27" s="5">
        <v>6254</v>
      </c>
      <c r="H27">
        <v>-1.57</v>
      </c>
      <c r="I27">
        <v>11.75</v>
      </c>
      <c r="J27">
        <v>0.38</v>
      </c>
      <c r="K27" t="s">
        <v>78</v>
      </c>
      <c r="L27">
        <v>30</v>
      </c>
      <c r="N27">
        <v>0.98</v>
      </c>
      <c r="O27">
        <v>4.5999999999999996</v>
      </c>
      <c r="P27">
        <v>-7.48</v>
      </c>
      <c r="Q27">
        <v>23.9</v>
      </c>
      <c r="R27">
        <v>4.1120000000000001</v>
      </c>
      <c r="S27" s="5" t="s">
        <v>301</v>
      </c>
      <c r="T27" s="2">
        <v>0.52740717592592601</v>
      </c>
      <c r="U27" t="s">
        <v>143</v>
      </c>
      <c r="V27">
        <v>299.63</v>
      </c>
      <c r="W27">
        <v>36.049999999999997</v>
      </c>
      <c r="X27">
        <v>10.3</v>
      </c>
      <c r="Y27">
        <v>10.199999999999999</v>
      </c>
      <c r="Z27">
        <v>4.0999999999999996</v>
      </c>
      <c r="AA27">
        <v>-7.2</v>
      </c>
      <c r="AB27">
        <v>6</v>
      </c>
      <c r="AC27" s="8"/>
      <c r="AD27" s="4">
        <v>-94.7</v>
      </c>
      <c r="AE27" s="4">
        <v>0.2</v>
      </c>
      <c r="AF27" s="4">
        <v>-96.8</v>
      </c>
      <c r="AG27" s="4">
        <v>2.5</v>
      </c>
      <c r="AH27" s="4">
        <v>0.4</v>
      </c>
      <c r="AI27" s="4">
        <v>1.41</v>
      </c>
      <c r="AJ27" s="4">
        <v>0.57999999999999996</v>
      </c>
      <c r="AK27" s="4">
        <v>1.51</v>
      </c>
      <c r="AL27" s="4">
        <v>18.809999999999999</v>
      </c>
      <c r="AM27" s="4">
        <v>2.57</v>
      </c>
      <c r="AN27" s="4">
        <v>8.4499999999999993</v>
      </c>
      <c r="AO27" s="4">
        <v>9.27</v>
      </c>
    </row>
    <row r="28" spans="1:41" x14ac:dyDescent="0.2">
      <c r="A28" s="5" t="s">
        <v>31</v>
      </c>
      <c r="B28">
        <v>1.17</v>
      </c>
      <c r="C28">
        <v>5.5</v>
      </c>
      <c r="D28">
        <v>0.21</v>
      </c>
      <c r="E28">
        <v>13.4</v>
      </c>
      <c r="F28">
        <v>-1.03</v>
      </c>
      <c r="G28" s="5">
        <v>6304</v>
      </c>
      <c r="H28">
        <v>-0.37</v>
      </c>
      <c r="I28">
        <v>11.25</v>
      </c>
      <c r="J28">
        <v>0.38</v>
      </c>
      <c r="K28" t="s">
        <v>76</v>
      </c>
      <c r="L28">
        <v>16</v>
      </c>
      <c r="M28" t="s">
        <v>81</v>
      </c>
      <c r="N28">
        <v>-1</v>
      </c>
      <c r="O28">
        <v>2.2999999999999998</v>
      </c>
      <c r="P28">
        <v>-7.3</v>
      </c>
      <c r="Q28">
        <v>28.8</v>
      </c>
      <c r="R28">
        <v>4.6559999999999997</v>
      </c>
      <c r="S28" s="5" t="s">
        <v>302</v>
      </c>
      <c r="T28" s="2">
        <v>0.5413648148148148</v>
      </c>
      <c r="U28" t="s">
        <v>144</v>
      </c>
      <c r="V28">
        <v>303.60000000000002</v>
      </c>
      <c r="W28">
        <v>-8.02</v>
      </c>
      <c r="X28">
        <v>6.6</v>
      </c>
      <c r="Y28">
        <v>7</v>
      </c>
      <c r="Z28">
        <v>3.6</v>
      </c>
      <c r="AA28">
        <v>-5.4</v>
      </c>
      <c r="AB28">
        <v>-0.9</v>
      </c>
      <c r="AC28" s="8"/>
      <c r="AD28" s="4">
        <v>200.2</v>
      </c>
      <c r="AE28" s="4">
        <v>1.2</v>
      </c>
      <c r="AF28" s="4">
        <v>192.9</v>
      </c>
      <c r="AG28" s="4" t="s">
        <v>109</v>
      </c>
      <c r="AH28" s="4" t="s">
        <v>109</v>
      </c>
      <c r="AI28" s="4">
        <v>1.25</v>
      </c>
      <c r="AJ28" s="4">
        <v>1</v>
      </c>
      <c r="AK28" s="4">
        <v>2.41</v>
      </c>
      <c r="AL28" s="4">
        <v>18.48</v>
      </c>
      <c r="AM28" s="4">
        <v>3</v>
      </c>
      <c r="AN28" s="4">
        <v>8.7799999999999994</v>
      </c>
      <c r="AO28" s="4">
        <v>9.42</v>
      </c>
    </row>
    <row r="29" spans="1:41" x14ac:dyDescent="0.2">
      <c r="A29" s="5" t="s">
        <v>32</v>
      </c>
      <c r="B29">
        <v>7.75</v>
      </c>
      <c r="C29">
        <v>5.93</v>
      </c>
      <c r="D29">
        <v>1.31</v>
      </c>
      <c r="E29">
        <v>11.7</v>
      </c>
      <c r="F29">
        <v>-1.33</v>
      </c>
      <c r="G29" s="5">
        <v>6341</v>
      </c>
      <c r="H29">
        <v>-2.35</v>
      </c>
      <c r="I29">
        <v>12.75</v>
      </c>
      <c r="J29">
        <v>0.25</v>
      </c>
      <c r="K29" t="s">
        <v>76</v>
      </c>
      <c r="L29">
        <v>11</v>
      </c>
      <c r="M29" t="s">
        <v>90</v>
      </c>
      <c r="N29">
        <v>0.91</v>
      </c>
      <c r="O29">
        <v>9.6</v>
      </c>
      <c r="P29">
        <v>-8.2100000000000009</v>
      </c>
      <c r="Q29">
        <v>35.799999999999997</v>
      </c>
      <c r="R29">
        <v>4.6180000000000003</v>
      </c>
      <c r="S29" s="5" t="s">
        <v>303</v>
      </c>
      <c r="T29" s="2">
        <v>0.55063946759259264</v>
      </c>
      <c r="U29" t="s">
        <v>145</v>
      </c>
      <c r="V29">
        <v>332.96</v>
      </c>
      <c r="W29">
        <v>79.760000000000005</v>
      </c>
      <c r="X29">
        <v>17.899999999999999</v>
      </c>
      <c r="Y29">
        <v>18.399999999999999</v>
      </c>
      <c r="Z29">
        <v>2.8</v>
      </c>
      <c r="AA29">
        <v>-1.4</v>
      </c>
      <c r="AB29">
        <v>17.600000000000001</v>
      </c>
      <c r="AC29" s="8"/>
      <c r="AD29" s="4">
        <v>-62.9</v>
      </c>
      <c r="AE29" s="4">
        <v>0.3</v>
      </c>
      <c r="AF29" s="4">
        <v>-56.2</v>
      </c>
      <c r="AG29" s="4">
        <v>4.4000000000000004</v>
      </c>
      <c r="AH29" s="4">
        <v>0.9</v>
      </c>
      <c r="AI29" s="4">
        <v>1.72</v>
      </c>
      <c r="AJ29" s="4">
        <v>0.35</v>
      </c>
      <c r="AK29" s="4">
        <v>1.31</v>
      </c>
      <c r="AL29" s="4">
        <v>17.38</v>
      </c>
      <c r="AM29" s="4">
        <v>3.07</v>
      </c>
      <c r="AN29" s="4">
        <v>8.73</v>
      </c>
      <c r="AO29" s="4">
        <v>9.76</v>
      </c>
    </row>
    <row r="30" spans="1:41" x14ac:dyDescent="0.2">
      <c r="A30" s="5" t="s">
        <v>33</v>
      </c>
      <c r="B30">
        <v>0.74</v>
      </c>
      <c r="C30">
        <v>4.2</v>
      </c>
      <c r="D30">
        <v>0.18</v>
      </c>
      <c r="E30">
        <v>13.4</v>
      </c>
      <c r="F30">
        <v>-1.43</v>
      </c>
      <c r="G30" s="5">
        <v>6352</v>
      </c>
      <c r="H30">
        <v>-0.62</v>
      </c>
      <c r="I30">
        <v>10.75</v>
      </c>
      <c r="J30">
        <v>0.38</v>
      </c>
      <c r="K30" t="s">
        <v>76</v>
      </c>
      <c r="L30">
        <v>16</v>
      </c>
      <c r="M30" t="s">
        <v>91</v>
      </c>
      <c r="N30">
        <v>-1</v>
      </c>
      <c r="O30">
        <v>3.3</v>
      </c>
      <c r="P30">
        <v>-6.47</v>
      </c>
      <c r="Q30">
        <v>14.6</v>
      </c>
      <c r="R30">
        <v>3.5920000000000001</v>
      </c>
      <c r="S30" s="5" t="s">
        <v>304</v>
      </c>
      <c r="T30" s="2">
        <v>0.55309131944444445</v>
      </c>
      <c r="U30" t="s">
        <v>146</v>
      </c>
      <c r="V30">
        <v>335.7</v>
      </c>
      <c r="W30">
        <v>78.95</v>
      </c>
      <c r="X30">
        <v>17.399999999999999</v>
      </c>
      <c r="Y30">
        <v>17.8</v>
      </c>
      <c r="Z30">
        <v>3</v>
      </c>
      <c r="AA30">
        <v>-1.4</v>
      </c>
      <c r="AB30">
        <v>17.100000000000001</v>
      </c>
      <c r="AC30" s="8"/>
      <c r="AD30" s="4">
        <v>44</v>
      </c>
      <c r="AE30" s="4">
        <v>0.4</v>
      </c>
      <c r="AF30" s="4">
        <v>50.9</v>
      </c>
      <c r="AG30" s="4">
        <v>1.4</v>
      </c>
      <c r="AH30" s="4">
        <v>0.2</v>
      </c>
      <c r="AI30" s="4">
        <v>0.74</v>
      </c>
      <c r="AJ30" s="4">
        <v>2.08</v>
      </c>
      <c r="AK30" s="4">
        <v>2.61</v>
      </c>
      <c r="AL30" s="4">
        <v>22.03</v>
      </c>
      <c r="AM30" s="4">
        <v>0.54</v>
      </c>
      <c r="AN30" s="4">
        <v>9.81</v>
      </c>
      <c r="AO30" s="4">
        <v>9.8699999999999992</v>
      </c>
    </row>
    <row r="31" spans="1:41" x14ac:dyDescent="0.2">
      <c r="A31" s="5" t="s">
        <v>34</v>
      </c>
      <c r="B31">
        <v>1.53</v>
      </c>
      <c r="C31">
        <v>4.2</v>
      </c>
      <c r="D31">
        <v>0.36</v>
      </c>
      <c r="E31">
        <v>12.4</v>
      </c>
      <c r="F31">
        <v>-1.57</v>
      </c>
      <c r="G31" s="5">
        <v>6362</v>
      </c>
      <c r="H31">
        <v>-1.07</v>
      </c>
      <c r="I31">
        <v>12.5</v>
      </c>
      <c r="J31">
        <v>0.25</v>
      </c>
      <c r="K31" t="s">
        <v>76</v>
      </c>
      <c r="L31">
        <v>13</v>
      </c>
      <c r="M31" t="s">
        <v>92</v>
      </c>
      <c r="N31">
        <v>-0.57999999999999996</v>
      </c>
      <c r="O31">
        <v>5.0999999999999996</v>
      </c>
      <c r="P31">
        <v>-6.95</v>
      </c>
      <c r="Q31">
        <v>13.5</v>
      </c>
      <c r="R31">
        <v>3.2610000000000001</v>
      </c>
      <c r="S31" s="5" t="s">
        <v>305</v>
      </c>
      <c r="T31" s="2">
        <v>0.56026898148148141</v>
      </c>
      <c r="U31" t="s">
        <v>147</v>
      </c>
      <c r="V31">
        <v>309.10000000000002</v>
      </c>
      <c r="W31">
        <v>14.97</v>
      </c>
      <c r="X31">
        <v>5.2</v>
      </c>
      <c r="Y31">
        <v>6.4</v>
      </c>
      <c r="Z31">
        <v>3.1</v>
      </c>
      <c r="AA31">
        <v>-3.9</v>
      </c>
      <c r="AB31">
        <v>1.3</v>
      </c>
      <c r="AC31" s="8"/>
      <c r="AD31" s="4">
        <v>232.1</v>
      </c>
      <c r="AE31" s="4">
        <v>0.1</v>
      </c>
      <c r="AF31" s="4">
        <v>228.9</v>
      </c>
      <c r="AG31" s="4">
        <v>16.8</v>
      </c>
      <c r="AH31" s="4">
        <v>0.3</v>
      </c>
      <c r="AI31" s="4">
        <v>1.31</v>
      </c>
      <c r="AJ31" s="4">
        <v>2.37</v>
      </c>
      <c r="AK31" s="4">
        <v>5</v>
      </c>
      <c r="AL31" s="4">
        <v>16.809999999999999</v>
      </c>
      <c r="AM31" s="4">
        <v>3.15</v>
      </c>
      <c r="AN31" s="4">
        <v>9.6</v>
      </c>
      <c r="AO31" s="4">
        <v>10.09</v>
      </c>
    </row>
    <row r="32" spans="1:41" x14ac:dyDescent="0.2">
      <c r="A32" s="5" t="s">
        <v>35</v>
      </c>
      <c r="B32">
        <v>2.17</v>
      </c>
      <c r="C32">
        <v>4.1399999999999997</v>
      </c>
      <c r="D32">
        <v>0.52</v>
      </c>
      <c r="E32">
        <v>13.6</v>
      </c>
      <c r="F32">
        <v>-0.66</v>
      </c>
      <c r="G32" s="5">
        <v>6366</v>
      </c>
      <c r="H32">
        <v>-0.59</v>
      </c>
      <c r="I32">
        <v>11</v>
      </c>
      <c r="J32">
        <v>0.5</v>
      </c>
      <c r="K32" t="s">
        <v>76</v>
      </c>
      <c r="L32">
        <v>16</v>
      </c>
      <c r="M32">
        <v>11</v>
      </c>
      <c r="N32">
        <v>-0.97</v>
      </c>
      <c r="O32">
        <v>5</v>
      </c>
      <c r="P32">
        <v>-5.74</v>
      </c>
      <c r="Q32">
        <v>9.8000000000000007</v>
      </c>
      <c r="R32">
        <v>3.1349999999999998</v>
      </c>
      <c r="S32" s="5" t="s">
        <v>306</v>
      </c>
      <c r="T32" s="2">
        <v>0.57096782407407409</v>
      </c>
      <c r="U32" t="s">
        <v>148</v>
      </c>
      <c r="V32">
        <v>42.22</v>
      </c>
      <c r="W32">
        <v>78.709999999999994</v>
      </c>
      <c r="X32">
        <v>10.199999999999999</v>
      </c>
      <c r="Y32">
        <v>12</v>
      </c>
      <c r="Z32">
        <v>1.5</v>
      </c>
      <c r="AA32">
        <v>1.3</v>
      </c>
      <c r="AB32">
        <v>10</v>
      </c>
      <c r="AC32" s="8"/>
      <c r="AD32" s="4">
        <v>-147.6</v>
      </c>
      <c r="AE32" s="4">
        <v>0.2</v>
      </c>
      <c r="AF32" s="4">
        <v>-138.30000000000001</v>
      </c>
      <c r="AG32" s="4">
        <v>5.5</v>
      </c>
      <c r="AH32" s="4">
        <v>0.3</v>
      </c>
      <c r="AI32" s="4">
        <v>1.89</v>
      </c>
      <c r="AJ32" s="4">
        <v>0.37</v>
      </c>
      <c r="AK32" s="4">
        <v>2.31</v>
      </c>
      <c r="AL32" s="4">
        <v>16.64</v>
      </c>
      <c r="AM32" s="4">
        <v>3.57</v>
      </c>
      <c r="AN32" s="4">
        <v>8.31</v>
      </c>
      <c r="AO32" s="4">
        <v>9.7899999999999991</v>
      </c>
    </row>
    <row r="33" spans="1:41" x14ac:dyDescent="0.2">
      <c r="A33" s="5" t="s">
        <v>36</v>
      </c>
      <c r="B33">
        <v>4.8899999999999997</v>
      </c>
      <c r="C33">
        <v>4.1900000000000004</v>
      </c>
      <c r="D33">
        <v>1.17</v>
      </c>
      <c r="E33">
        <v>13.2</v>
      </c>
      <c r="F33">
        <v>-2.1</v>
      </c>
      <c r="G33" s="5">
        <v>6397</v>
      </c>
      <c r="H33">
        <v>-1.99</v>
      </c>
      <c r="I33">
        <v>13</v>
      </c>
      <c r="J33">
        <v>0.25</v>
      </c>
      <c r="K33" t="s">
        <v>82</v>
      </c>
      <c r="L33">
        <v>30</v>
      </c>
      <c r="M33">
        <v>13</v>
      </c>
      <c r="N33">
        <v>0.98</v>
      </c>
      <c r="O33">
        <v>6</v>
      </c>
      <c r="P33">
        <v>-6.64</v>
      </c>
      <c r="Q33">
        <v>35.9</v>
      </c>
      <c r="R33">
        <v>5.7590000000000003</v>
      </c>
      <c r="S33" s="5" t="s">
        <v>307</v>
      </c>
      <c r="T33" s="2">
        <v>0.57392141203703706</v>
      </c>
      <c r="U33" t="s">
        <v>149</v>
      </c>
      <c r="V33">
        <v>311.61</v>
      </c>
      <c r="W33">
        <v>10.57</v>
      </c>
      <c r="X33">
        <v>11.7</v>
      </c>
      <c r="Y33">
        <v>8.9</v>
      </c>
      <c r="Z33">
        <v>7.6</v>
      </c>
      <c r="AA33">
        <v>-8.6</v>
      </c>
      <c r="AB33">
        <v>2.1</v>
      </c>
      <c r="AC33" s="8"/>
      <c r="AD33" s="4">
        <v>57.4</v>
      </c>
      <c r="AE33" s="4">
        <v>1.5</v>
      </c>
      <c r="AF33" s="4">
        <v>54.3</v>
      </c>
      <c r="AG33" s="4">
        <v>8.1</v>
      </c>
      <c r="AH33" s="4">
        <v>1</v>
      </c>
      <c r="AI33" s="4">
        <v>1.41</v>
      </c>
      <c r="AJ33" s="4">
        <v>0.28000000000000003</v>
      </c>
      <c r="AK33" s="4">
        <v>0.73</v>
      </c>
      <c r="AL33" s="4">
        <v>16.22</v>
      </c>
      <c r="AM33" s="4">
        <v>4.0999999999999996</v>
      </c>
      <c r="AN33" s="4">
        <v>8.4</v>
      </c>
      <c r="AO33" s="4">
        <v>9.11</v>
      </c>
    </row>
    <row r="34" spans="1:41" x14ac:dyDescent="0.2">
      <c r="A34" s="5" t="s">
        <v>37</v>
      </c>
      <c r="B34">
        <v>0.37</v>
      </c>
      <c r="C34">
        <v>5.68</v>
      </c>
      <c r="D34">
        <v>6.5000000000000002E-2</v>
      </c>
      <c r="E34">
        <v>12.7</v>
      </c>
      <c r="F34">
        <v>-0.7</v>
      </c>
      <c r="G34" s="5">
        <v>6496</v>
      </c>
      <c r="H34">
        <v>-0.46</v>
      </c>
      <c r="I34">
        <v>10.75</v>
      </c>
      <c r="J34">
        <v>0.38</v>
      </c>
      <c r="K34" t="s">
        <v>76</v>
      </c>
      <c r="L34">
        <v>16</v>
      </c>
      <c r="M34" t="s">
        <v>86</v>
      </c>
      <c r="N34">
        <v>-1</v>
      </c>
      <c r="O34">
        <v>4.2</v>
      </c>
      <c r="P34">
        <v>-7.2</v>
      </c>
      <c r="Q34">
        <v>16.7</v>
      </c>
      <c r="R34">
        <v>3.4590000000000001</v>
      </c>
      <c r="S34" s="5" t="s">
        <v>308</v>
      </c>
      <c r="T34" s="2">
        <v>0.58080671296296293</v>
      </c>
      <c r="U34" t="s">
        <v>150</v>
      </c>
      <c r="V34">
        <v>320.27999999999997</v>
      </c>
      <c r="W34">
        <v>33.51</v>
      </c>
      <c r="X34">
        <v>32.200000000000003</v>
      </c>
      <c r="Y34">
        <v>27.8</v>
      </c>
      <c r="Z34">
        <v>20.7</v>
      </c>
      <c r="AA34">
        <v>-17.2</v>
      </c>
      <c r="AB34">
        <v>17.8</v>
      </c>
      <c r="AC34" s="8"/>
      <c r="AD34" s="4" t="s">
        <v>109</v>
      </c>
      <c r="AE34" s="4" t="s">
        <v>109</v>
      </c>
      <c r="AF34" s="4" t="s">
        <v>109</v>
      </c>
      <c r="AG34" s="4" t="s">
        <v>109</v>
      </c>
      <c r="AH34" s="4" t="s">
        <v>109</v>
      </c>
      <c r="AI34" s="4">
        <v>0.7</v>
      </c>
      <c r="AJ34" s="4">
        <v>0.41</v>
      </c>
      <c r="AK34" s="4">
        <v>0.43</v>
      </c>
      <c r="AL34" s="4">
        <v>24.75</v>
      </c>
      <c r="AM34" s="4">
        <v>-0.05</v>
      </c>
      <c r="AN34" s="4">
        <v>8.42</v>
      </c>
      <c r="AO34" s="4">
        <v>8.32</v>
      </c>
    </row>
    <row r="35" spans="1:41" x14ac:dyDescent="0.2">
      <c r="A35" s="5" t="s">
        <v>38</v>
      </c>
      <c r="B35">
        <v>0.81</v>
      </c>
      <c r="C35">
        <v>7.7</v>
      </c>
      <c r="D35">
        <v>0.11</v>
      </c>
      <c r="E35">
        <v>13.6</v>
      </c>
      <c r="F35">
        <v>-0.99</v>
      </c>
      <c r="G35" s="5">
        <v>6535</v>
      </c>
      <c r="H35">
        <v>-1.79</v>
      </c>
      <c r="I35">
        <v>12.75</v>
      </c>
      <c r="J35">
        <v>0.5</v>
      </c>
      <c r="K35" t="s">
        <v>76</v>
      </c>
      <c r="L35">
        <v>32</v>
      </c>
      <c r="N35">
        <v>1</v>
      </c>
      <c r="O35">
        <v>3.9</v>
      </c>
      <c r="P35">
        <v>-4.75</v>
      </c>
      <c r="Q35">
        <v>8.1999999999999993</v>
      </c>
      <c r="R35">
        <v>3.327</v>
      </c>
      <c r="S35" s="5" t="s">
        <v>309</v>
      </c>
      <c r="T35" s="2">
        <v>0.58712141203703705</v>
      </c>
      <c r="U35" t="s">
        <v>151</v>
      </c>
      <c r="V35">
        <v>42.15</v>
      </c>
      <c r="W35">
        <v>73.59</v>
      </c>
      <c r="X35">
        <v>16</v>
      </c>
      <c r="Y35">
        <v>16.3</v>
      </c>
      <c r="Z35">
        <v>3.3</v>
      </c>
      <c r="AA35">
        <v>3</v>
      </c>
      <c r="AB35">
        <v>15.3</v>
      </c>
      <c r="AC35" s="8"/>
      <c r="AD35" s="4">
        <v>110.7</v>
      </c>
      <c r="AE35" s="4">
        <v>0.2</v>
      </c>
      <c r="AF35" s="4">
        <v>121.2</v>
      </c>
      <c r="AG35" s="4">
        <v>1.7</v>
      </c>
      <c r="AH35" s="4">
        <v>0.2</v>
      </c>
      <c r="AI35" s="4">
        <v>1.04</v>
      </c>
      <c r="AJ35" s="4">
        <v>1.43</v>
      </c>
      <c r="AK35" s="4">
        <v>2.2999999999999998</v>
      </c>
      <c r="AL35" s="4">
        <v>21.61</v>
      </c>
      <c r="AM35" s="4">
        <v>0.84</v>
      </c>
      <c r="AN35" s="4">
        <v>9.35</v>
      </c>
      <c r="AO35" s="4">
        <v>9.76</v>
      </c>
    </row>
    <row r="36" spans="1:41" x14ac:dyDescent="0.2">
      <c r="A36" s="5" t="s">
        <v>39</v>
      </c>
      <c r="B36">
        <v>0.3</v>
      </c>
      <c r="C36">
        <v>5.05</v>
      </c>
      <c r="D36">
        <v>5.8000000000000003E-2</v>
      </c>
      <c r="E36">
        <v>13.3</v>
      </c>
      <c r="F36">
        <v>-0.73</v>
      </c>
      <c r="G36" s="5">
        <v>6541</v>
      </c>
      <c r="H36">
        <v>-1.82</v>
      </c>
      <c r="I36">
        <v>12.5</v>
      </c>
      <c r="J36">
        <v>0.5</v>
      </c>
      <c r="K36" t="s">
        <v>78</v>
      </c>
      <c r="L36">
        <v>30</v>
      </c>
      <c r="N36">
        <v>1</v>
      </c>
      <c r="O36">
        <v>2.1</v>
      </c>
      <c r="P36">
        <v>-8.52</v>
      </c>
      <c r="Q36">
        <v>46.3</v>
      </c>
      <c r="R36">
        <v>5.0190000000000001</v>
      </c>
      <c r="S36" s="5" t="s">
        <v>310</v>
      </c>
      <c r="T36" s="2">
        <v>0.60390312499999999</v>
      </c>
      <c r="U36" t="s">
        <v>152</v>
      </c>
      <c r="V36">
        <v>342.21</v>
      </c>
      <c r="W36">
        <v>49.26</v>
      </c>
      <c r="X36">
        <v>25.2</v>
      </c>
      <c r="Y36">
        <v>21.2</v>
      </c>
      <c r="Z36">
        <v>15.7</v>
      </c>
      <c r="AA36">
        <v>-5</v>
      </c>
      <c r="AB36">
        <v>19.100000000000001</v>
      </c>
      <c r="AC36" s="8"/>
      <c r="AD36" s="4">
        <v>-45.1</v>
      </c>
      <c r="AE36" s="4">
        <v>6.6</v>
      </c>
      <c r="AF36" s="4">
        <v>-37.5</v>
      </c>
      <c r="AG36" s="4" t="s">
        <v>109</v>
      </c>
      <c r="AH36" s="4" t="s">
        <v>109</v>
      </c>
      <c r="AI36" s="4">
        <v>2.0699999999999998</v>
      </c>
      <c r="AJ36" s="4">
        <v>0.09</v>
      </c>
      <c r="AK36" s="4">
        <v>0.86</v>
      </c>
      <c r="AL36" s="4">
        <v>17.2</v>
      </c>
      <c r="AM36" s="4">
        <v>3.63</v>
      </c>
      <c r="AN36" s="4">
        <v>7.67</v>
      </c>
      <c r="AO36" s="4">
        <v>9.5399999999999991</v>
      </c>
    </row>
    <row r="37" spans="1:41" x14ac:dyDescent="0.2">
      <c r="A37" s="5" t="s">
        <v>40</v>
      </c>
      <c r="B37">
        <v>12</v>
      </c>
      <c r="C37">
        <v>2.5</v>
      </c>
      <c r="D37">
        <v>4.8</v>
      </c>
      <c r="E37">
        <v>11.7</v>
      </c>
      <c r="F37">
        <v>-0.45</v>
      </c>
      <c r="G37" s="5">
        <v>6584</v>
      </c>
      <c r="H37">
        <v>-1.5</v>
      </c>
      <c r="I37">
        <v>11.75</v>
      </c>
      <c r="J37">
        <v>0.25</v>
      </c>
      <c r="K37" t="s">
        <v>82</v>
      </c>
      <c r="L37" s="1">
        <v>11293</v>
      </c>
      <c r="N37">
        <v>-0.15</v>
      </c>
      <c r="O37">
        <v>7</v>
      </c>
      <c r="P37">
        <v>-7.69</v>
      </c>
      <c r="Q37">
        <v>24.7</v>
      </c>
      <c r="R37">
        <v>4.1120000000000001</v>
      </c>
      <c r="S37" s="5" t="s">
        <v>311</v>
      </c>
      <c r="T37" s="2">
        <v>0.61083668981481487</v>
      </c>
      <c r="U37" t="s">
        <v>153</v>
      </c>
      <c r="V37">
        <v>331.06</v>
      </c>
      <c r="W37">
        <v>30.36</v>
      </c>
      <c r="X37">
        <v>35</v>
      </c>
      <c r="Y37">
        <v>29.4</v>
      </c>
      <c r="Z37">
        <v>26.4</v>
      </c>
      <c r="AA37">
        <v>-14.6</v>
      </c>
      <c r="AB37">
        <v>17.7</v>
      </c>
      <c r="AC37" s="8"/>
      <c r="AD37" s="4">
        <v>-140.30000000000001</v>
      </c>
      <c r="AE37" s="4">
        <v>0.8</v>
      </c>
      <c r="AF37" s="4">
        <v>-136.19999999999999</v>
      </c>
      <c r="AG37" s="4">
        <v>5.8</v>
      </c>
      <c r="AH37" s="4">
        <v>0.8</v>
      </c>
      <c r="AI37" s="4">
        <v>1.89</v>
      </c>
      <c r="AJ37" s="4">
        <v>0.06</v>
      </c>
      <c r="AK37" s="4">
        <v>0.4</v>
      </c>
      <c r="AL37" s="4">
        <v>16.510000000000002</v>
      </c>
      <c r="AM37" s="4">
        <v>3.95</v>
      </c>
      <c r="AN37" s="4">
        <v>7.85</v>
      </c>
      <c r="AO37" s="4">
        <v>9.27</v>
      </c>
    </row>
    <row r="38" spans="1:41" x14ac:dyDescent="0.2">
      <c r="A38" s="5" t="s">
        <v>41</v>
      </c>
      <c r="B38">
        <v>1.1000000000000001</v>
      </c>
      <c r="C38">
        <v>3.3</v>
      </c>
      <c r="D38">
        <v>0.33</v>
      </c>
      <c r="E38">
        <v>13.4</v>
      </c>
      <c r="F38">
        <v>-1.99</v>
      </c>
      <c r="G38" s="5">
        <v>6624</v>
      </c>
      <c r="H38">
        <v>-0.42</v>
      </c>
      <c r="I38">
        <v>11.25</v>
      </c>
      <c r="J38">
        <v>0.5</v>
      </c>
      <c r="K38" t="s">
        <v>76</v>
      </c>
      <c r="L38">
        <v>16</v>
      </c>
      <c r="M38" t="s">
        <v>81</v>
      </c>
      <c r="N38">
        <v>-1</v>
      </c>
      <c r="O38">
        <v>1.2</v>
      </c>
      <c r="P38">
        <v>-7.49</v>
      </c>
      <c r="Q38">
        <v>26.2</v>
      </c>
      <c r="R38">
        <v>4.8689999999999998</v>
      </c>
      <c r="S38" s="5" t="s">
        <v>312</v>
      </c>
      <c r="T38" s="2">
        <v>0.62521354166666665</v>
      </c>
      <c r="U38" t="s">
        <v>154</v>
      </c>
      <c r="V38">
        <v>307.35000000000002</v>
      </c>
      <c r="W38">
        <v>-20.47</v>
      </c>
      <c r="X38">
        <v>18.8</v>
      </c>
      <c r="Y38">
        <v>15.7</v>
      </c>
      <c r="Z38">
        <v>10.7</v>
      </c>
      <c r="AA38">
        <v>-14</v>
      </c>
      <c r="AB38">
        <v>-6.6</v>
      </c>
      <c r="AC38" s="8"/>
      <c r="AD38" s="4">
        <v>31.5</v>
      </c>
      <c r="AE38" s="4">
        <v>0.2</v>
      </c>
      <c r="AF38" s="4">
        <v>24.1</v>
      </c>
      <c r="AG38" s="4">
        <v>2.5</v>
      </c>
      <c r="AH38" s="4">
        <v>0.5</v>
      </c>
      <c r="AI38" s="4">
        <v>1.21</v>
      </c>
      <c r="AJ38" s="4">
        <v>0.84</v>
      </c>
      <c r="AK38" s="4">
        <v>1.71</v>
      </c>
      <c r="AL38" s="4">
        <v>20.9</v>
      </c>
      <c r="AM38" s="4">
        <v>1.55</v>
      </c>
      <c r="AN38" s="4">
        <v>9.2100000000000009</v>
      </c>
      <c r="AO38" s="4">
        <v>9.73</v>
      </c>
    </row>
    <row r="39" spans="1:41" x14ac:dyDescent="0.2">
      <c r="A39" s="5" t="s">
        <v>42</v>
      </c>
      <c r="B39">
        <v>9.5500000000000007</v>
      </c>
      <c r="C39">
        <v>3.3</v>
      </c>
      <c r="D39">
        <v>2.92</v>
      </c>
      <c r="E39">
        <v>11.2</v>
      </c>
      <c r="F39">
        <v>-0.44</v>
      </c>
      <c r="G39" s="5">
        <v>6637</v>
      </c>
      <c r="H39">
        <v>-0.59</v>
      </c>
      <c r="I39">
        <v>11</v>
      </c>
      <c r="J39">
        <v>0.38</v>
      </c>
      <c r="K39" t="s">
        <v>76</v>
      </c>
      <c r="L39">
        <v>16</v>
      </c>
      <c r="M39" t="s">
        <v>81</v>
      </c>
      <c r="N39">
        <v>-1</v>
      </c>
      <c r="O39">
        <v>1.7</v>
      </c>
      <c r="P39">
        <v>-7.64</v>
      </c>
      <c r="Q39">
        <v>27.7</v>
      </c>
      <c r="R39">
        <v>4.3079999999999998</v>
      </c>
      <c r="S39" s="5" t="s">
        <v>313</v>
      </c>
      <c r="T39" s="2">
        <v>0.62776192129629627</v>
      </c>
      <c r="U39" t="s">
        <v>155</v>
      </c>
      <c r="V39">
        <v>332.56</v>
      </c>
      <c r="W39">
        <v>22.07</v>
      </c>
      <c r="X39">
        <v>32.1</v>
      </c>
      <c r="Y39">
        <v>25.9</v>
      </c>
      <c r="Z39">
        <v>26.4</v>
      </c>
      <c r="AA39">
        <v>-13.7</v>
      </c>
      <c r="AB39">
        <v>12.1</v>
      </c>
      <c r="AC39" s="8"/>
      <c r="AD39" s="4">
        <v>-27.5</v>
      </c>
      <c r="AE39" s="4">
        <v>1.5</v>
      </c>
      <c r="AF39" s="4">
        <v>-23.8</v>
      </c>
      <c r="AG39" s="4">
        <v>11.6</v>
      </c>
      <c r="AH39" s="4">
        <v>0.5</v>
      </c>
      <c r="AI39" s="4">
        <v>1.98</v>
      </c>
      <c r="AJ39" s="4">
        <v>0.06</v>
      </c>
      <c r="AK39" s="4">
        <v>0.45</v>
      </c>
      <c r="AL39" s="4">
        <v>15.18</v>
      </c>
      <c r="AM39" s="4">
        <v>4.6100000000000003</v>
      </c>
      <c r="AN39" s="4">
        <v>7.91</v>
      </c>
      <c r="AO39" s="4">
        <v>9.4700000000000006</v>
      </c>
    </row>
    <row r="40" spans="1:41" x14ac:dyDescent="0.2">
      <c r="A40" s="5" t="s">
        <v>43</v>
      </c>
      <c r="B40">
        <v>2</v>
      </c>
      <c r="C40">
        <v>5.7</v>
      </c>
      <c r="D40">
        <v>0.35</v>
      </c>
      <c r="E40">
        <v>12.4</v>
      </c>
      <c r="F40">
        <v>-0.7</v>
      </c>
      <c r="G40" s="5">
        <v>6652</v>
      </c>
      <c r="H40">
        <v>-0.76</v>
      </c>
      <c r="I40">
        <v>11.25</v>
      </c>
      <c r="J40">
        <v>0.25</v>
      </c>
      <c r="K40" t="s">
        <v>76</v>
      </c>
      <c r="L40">
        <v>16</v>
      </c>
      <c r="M40" t="s">
        <v>81</v>
      </c>
      <c r="N40">
        <v>-1</v>
      </c>
      <c r="O40">
        <v>2.7</v>
      </c>
      <c r="P40">
        <v>-6.66</v>
      </c>
      <c r="Q40">
        <v>23.9</v>
      </c>
      <c r="R40">
        <v>4.5830000000000002</v>
      </c>
      <c r="S40" s="5" t="s">
        <v>314</v>
      </c>
      <c r="T40" s="2">
        <v>0.63617187500000005</v>
      </c>
      <c r="U40" t="s">
        <v>156</v>
      </c>
      <c r="V40">
        <v>0.85</v>
      </c>
      <c r="W40">
        <v>45.86</v>
      </c>
      <c r="X40">
        <v>23.2</v>
      </c>
      <c r="Y40">
        <v>18.600000000000001</v>
      </c>
      <c r="Z40">
        <v>16.2</v>
      </c>
      <c r="AA40">
        <v>0.2</v>
      </c>
      <c r="AB40">
        <v>16.7</v>
      </c>
      <c r="AC40" s="8"/>
      <c r="AD40" s="4">
        <v>-58.7</v>
      </c>
      <c r="AE40" s="4">
        <v>0.2</v>
      </c>
      <c r="AF40" s="4">
        <v>-48</v>
      </c>
      <c r="AG40" s="4">
        <v>1.1000000000000001</v>
      </c>
      <c r="AH40" s="4">
        <v>0.2</v>
      </c>
      <c r="AI40" s="4">
        <v>0.52</v>
      </c>
      <c r="AJ40" s="4">
        <v>2.29</v>
      </c>
      <c r="AK40" s="4">
        <v>2.73</v>
      </c>
      <c r="AL40" s="4">
        <v>24.64</v>
      </c>
      <c r="AM40" s="4">
        <v>-0.57999999999999996</v>
      </c>
      <c r="AN40" s="4">
        <v>9.81</v>
      </c>
      <c r="AO40" s="4">
        <v>9.82</v>
      </c>
    </row>
    <row r="41" spans="1:41" x14ac:dyDescent="0.2">
      <c r="A41" s="5" t="s">
        <v>44</v>
      </c>
      <c r="B41">
        <v>0.2</v>
      </c>
      <c r="C41">
        <v>2.86</v>
      </c>
      <c r="D41">
        <v>7.0000000000000007E-2</v>
      </c>
      <c r="E41">
        <v>10.5</v>
      </c>
      <c r="F41">
        <v>-1.51</v>
      </c>
      <c r="G41" s="5">
        <v>6656</v>
      </c>
      <c r="H41">
        <v>-1.7</v>
      </c>
      <c r="I41">
        <v>12.5</v>
      </c>
      <c r="J41">
        <v>0.5</v>
      </c>
      <c r="K41" t="s">
        <v>78</v>
      </c>
      <c r="L41">
        <v>30</v>
      </c>
      <c r="N41">
        <v>0.91</v>
      </c>
      <c r="O41">
        <v>4.9000000000000004</v>
      </c>
      <c r="P41">
        <v>-8.5</v>
      </c>
      <c r="Q41">
        <v>33.9</v>
      </c>
      <c r="R41">
        <v>4.3109999999999999</v>
      </c>
      <c r="S41" s="5" t="s">
        <v>315</v>
      </c>
      <c r="T41" s="2">
        <v>0.63708912037037035</v>
      </c>
      <c r="U41" t="s">
        <v>157</v>
      </c>
      <c r="V41">
        <v>342.95</v>
      </c>
      <c r="W41">
        <v>30.29</v>
      </c>
      <c r="X41">
        <v>12.5</v>
      </c>
      <c r="Y41">
        <v>7.4</v>
      </c>
      <c r="Z41">
        <v>10.3</v>
      </c>
      <c r="AA41">
        <v>-3.2</v>
      </c>
      <c r="AB41">
        <v>6.3</v>
      </c>
      <c r="AC41" s="8"/>
      <c r="AD41" s="4">
        <v>101.5</v>
      </c>
      <c r="AE41" s="4">
        <v>1</v>
      </c>
      <c r="AF41" s="4">
        <v>108.4</v>
      </c>
      <c r="AG41" s="4" t="s">
        <v>109</v>
      </c>
      <c r="AH41" s="4" t="s">
        <v>109</v>
      </c>
      <c r="AI41" s="4">
        <v>0.86</v>
      </c>
      <c r="AJ41" s="4">
        <v>1.4</v>
      </c>
      <c r="AK41" s="4">
        <v>2.06</v>
      </c>
      <c r="AL41" s="4">
        <v>20.53</v>
      </c>
      <c r="AM41" s="4">
        <v>1.53</v>
      </c>
      <c r="AN41" s="4">
        <v>9.33</v>
      </c>
      <c r="AO41" s="4">
        <v>9.57</v>
      </c>
    </row>
    <row r="42" spans="1:41" x14ac:dyDescent="0.2">
      <c r="A42" s="5" t="s">
        <v>45</v>
      </c>
      <c r="B42">
        <v>5.72</v>
      </c>
      <c r="C42">
        <v>3.93</v>
      </c>
      <c r="D42">
        <v>1.45</v>
      </c>
      <c r="E42">
        <v>12.9</v>
      </c>
      <c r="F42">
        <v>-1.53</v>
      </c>
      <c r="G42" s="5">
        <v>6681</v>
      </c>
      <c r="H42">
        <v>-1.62</v>
      </c>
      <c r="I42">
        <v>12.75</v>
      </c>
      <c r="J42">
        <v>0.38</v>
      </c>
      <c r="K42" t="s">
        <v>82</v>
      </c>
      <c r="L42" t="s">
        <v>93</v>
      </c>
      <c r="N42">
        <v>0.96</v>
      </c>
      <c r="O42">
        <v>2.2000000000000002</v>
      </c>
      <c r="P42">
        <v>-7.12</v>
      </c>
      <c r="Q42">
        <v>29.3</v>
      </c>
      <c r="R42">
        <v>5.21</v>
      </c>
      <c r="S42" s="5" t="s">
        <v>316</v>
      </c>
      <c r="T42" s="2">
        <v>0.63788449074074072</v>
      </c>
      <c r="U42" t="s">
        <v>158</v>
      </c>
      <c r="V42">
        <v>3.86</v>
      </c>
      <c r="W42">
        <v>46.8</v>
      </c>
      <c r="X42">
        <v>7.5</v>
      </c>
      <c r="Y42">
        <v>6.2</v>
      </c>
      <c r="Z42">
        <v>5.0999999999999996</v>
      </c>
      <c r="AA42">
        <v>0.3</v>
      </c>
      <c r="AB42">
        <v>5.5</v>
      </c>
      <c r="AC42" s="8"/>
      <c r="AD42" s="4">
        <v>53.2</v>
      </c>
      <c r="AE42" s="4">
        <v>0.4</v>
      </c>
      <c r="AF42" s="4">
        <v>64.3</v>
      </c>
      <c r="AG42" s="4">
        <v>5.5</v>
      </c>
      <c r="AH42" s="4">
        <v>0.4</v>
      </c>
      <c r="AI42" s="4">
        <v>1.73</v>
      </c>
      <c r="AJ42" s="4">
        <v>0.44</v>
      </c>
      <c r="AK42" s="4">
        <v>1.77</v>
      </c>
      <c r="AL42" s="4">
        <v>16.09</v>
      </c>
      <c r="AM42" s="4">
        <v>3.88</v>
      </c>
      <c r="AN42" s="4">
        <v>8.2799999999999994</v>
      </c>
      <c r="AO42" s="4">
        <v>9.41</v>
      </c>
    </row>
    <row r="43" spans="1:41" x14ac:dyDescent="0.2">
      <c r="A43" s="5" t="s">
        <v>46</v>
      </c>
      <c r="B43">
        <v>3.03</v>
      </c>
      <c r="C43">
        <v>4.87</v>
      </c>
      <c r="D43">
        <v>0.62</v>
      </c>
      <c r="E43">
        <v>11.3</v>
      </c>
      <c r="F43">
        <v>-1.3</v>
      </c>
      <c r="G43" s="5">
        <v>6715</v>
      </c>
      <c r="H43">
        <v>-1.44</v>
      </c>
      <c r="I43">
        <v>11.75</v>
      </c>
      <c r="J43">
        <v>0.5</v>
      </c>
      <c r="K43" t="s">
        <v>76</v>
      </c>
      <c r="L43">
        <v>32</v>
      </c>
      <c r="N43">
        <v>0.54</v>
      </c>
      <c r="O43">
        <v>18.899999999999999</v>
      </c>
      <c r="P43">
        <v>-9.98</v>
      </c>
      <c r="Q43">
        <v>59.7</v>
      </c>
      <c r="R43">
        <v>4.968</v>
      </c>
      <c r="S43" s="5" t="s">
        <v>317</v>
      </c>
      <c r="T43" s="2">
        <v>0.64445243055555557</v>
      </c>
      <c r="U43" t="s">
        <v>159</v>
      </c>
      <c r="V43">
        <v>326.60000000000002</v>
      </c>
      <c r="W43">
        <v>4.8600000000000003</v>
      </c>
      <c r="X43">
        <v>7.7</v>
      </c>
      <c r="Y43">
        <v>4.5999999999999996</v>
      </c>
      <c r="Z43">
        <v>6.4</v>
      </c>
      <c r="AA43">
        <v>-4.2</v>
      </c>
      <c r="AB43">
        <v>0.7</v>
      </c>
      <c r="AC43" s="8"/>
      <c r="AD43" s="4">
        <v>-107.5</v>
      </c>
      <c r="AE43" s="4">
        <v>0.9</v>
      </c>
      <c r="AF43" s="4">
        <v>-107.2</v>
      </c>
      <c r="AG43" s="4" t="s">
        <v>109</v>
      </c>
      <c r="AH43" s="4" t="s">
        <v>109</v>
      </c>
      <c r="AI43" s="4">
        <v>1.6</v>
      </c>
      <c r="AJ43" s="4">
        <v>0.42</v>
      </c>
      <c r="AK43" s="4">
        <v>1.1000000000000001</v>
      </c>
      <c r="AL43" s="4">
        <v>16.91</v>
      </c>
      <c r="AM43" s="4">
        <v>4.09</v>
      </c>
      <c r="AN43" s="4">
        <v>8.39</v>
      </c>
      <c r="AO43" s="4">
        <v>8.94</v>
      </c>
    </row>
    <row r="44" spans="1:41" x14ac:dyDescent="0.2">
      <c r="A44" s="5" t="s">
        <v>47</v>
      </c>
      <c r="B44">
        <v>2.57</v>
      </c>
      <c r="C44">
        <v>3.2</v>
      </c>
      <c r="D44">
        <v>0.8</v>
      </c>
      <c r="E44">
        <v>12.5</v>
      </c>
      <c r="F44">
        <v>-0.7</v>
      </c>
      <c r="G44" s="5">
        <v>6717</v>
      </c>
      <c r="H44">
        <v>-1.26</v>
      </c>
      <c r="I44">
        <v>12.5</v>
      </c>
      <c r="J44">
        <v>0.5</v>
      </c>
      <c r="K44" t="s">
        <v>76</v>
      </c>
      <c r="L44">
        <v>13</v>
      </c>
      <c r="N44">
        <v>0.98</v>
      </c>
      <c r="O44">
        <v>2.4</v>
      </c>
      <c r="P44">
        <v>-5.66</v>
      </c>
      <c r="Q44">
        <v>16.3</v>
      </c>
      <c r="R44">
        <v>4.4580000000000002</v>
      </c>
      <c r="S44" s="5" t="s">
        <v>318</v>
      </c>
      <c r="T44" s="2">
        <v>0.64963564814814811</v>
      </c>
      <c r="U44" t="s">
        <v>160</v>
      </c>
      <c r="V44">
        <v>327.58</v>
      </c>
      <c r="W44">
        <v>4.1900000000000004</v>
      </c>
      <c r="X44">
        <v>10.6</v>
      </c>
      <c r="Y44">
        <v>5.8</v>
      </c>
      <c r="Z44">
        <v>8.9</v>
      </c>
      <c r="AA44">
        <v>-5.6</v>
      </c>
      <c r="AB44">
        <v>0.8</v>
      </c>
      <c r="AC44" s="8"/>
      <c r="AD44" s="4">
        <v>128.4</v>
      </c>
      <c r="AE44" s="4">
        <v>1.8</v>
      </c>
      <c r="AF44" s="4">
        <v>128.9</v>
      </c>
      <c r="AG44" s="4">
        <v>4</v>
      </c>
      <c r="AH44" s="4">
        <v>2.9</v>
      </c>
      <c r="AI44" s="4">
        <v>2.5</v>
      </c>
      <c r="AJ44" s="4">
        <v>0.08</v>
      </c>
      <c r="AK44" s="4">
        <v>0.89</v>
      </c>
      <c r="AL44" s="4">
        <v>17.190000000000001</v>
      </c>
      <c r="AM44" s="4">
        <v>4.68</v>
      </c>
      <c r="AN44" s="4">
        <v>6.9</v>
      </c>
      <c r="AO44" s="4">
        <v>8.91</v>
      </c>
    </row>
    <row r="45" spans="1:41" x14ac:dyDescent="0.2">
      <c r="A45" s="5" t="s">
        <v>48</v>
      </c>
      <c r="B45">
        <v>2</v>
      </c>
      <c r="C45">
        <v>3.66</v>
      </c>
      <c r="D45">
        <v>0.55000000000000004</v>
      </c>
      <c r="E45">
        <v>13.1</v>
      </c>
      <c r="F45">
        <v>-0.78</v>
      </c>
      <c r="G45" s="5">
        <v>6723</v>
      </c>
      <c r="H45">
        <v>-1.1000000000000001</v>
      </c>
      <c r="I45">
        <v>12.5</v>
      </c>
      <c r="J45">
        <v>0.25</v>
      </c>
      <c r="K45" t="s">
        <v>76</v>
      </c>
      <c r="L45">
        <v>13</v>
      </c>
      <c r="M45" t="s">
        <v>92</v>
      </c>
      <c r="N45">
        <v>-0.08</v>
      </c>
      <c r="O45">
        <v>2.6</v>
      </c>
      <c r="P45">
        <v>-7.83</v>
      </c>
      <c r="Q45">
        <v>21.9</v>
      </c>
      <c r="R45">
        <v>3.7549999999999999</v>
      </c>
      <c r="S45" s="5" t="s">
        <v>319</v>
      </c>
      <c r="T45" s="2">
        <v>0.65216956018518513</v>
      </c>
      <c r="U45" t="s">
        <v>161</v>
      </c>
      <c r="V45">
        <v>328.41</v>
      </c>
      <c r="W45">
        <v>4.34</v>
      </c>
      <c r="X45">
        <v>18.899999999999999</v>
      </c>
      <c r="Y45">
        <v>12.9</v>
      </c>
      <c r="Z45">
        <v>16.100000000000001</v>
      </c>
      <c r="AA45">
        <v>-9.9</v>
      </c>
      <c r="AB45">
        <v>1.4</v>
      </c>
      <c r="AC45" s="8"/>
      <c r="AD45" s="4" t="s">
        <v>109</v>
      </c>
      <c r="AE45" s="4" t="s">
        <v>109</v>
      </c>
      <c r="AF45" s="4" t="s">
        <v>109</v>
      </c>
      <c r="AG45" s="4" t="s">
        <v>109</v>
      </c>
      <c r="AH45" s="4" t="s">
        <v>109</v>
      </c>
      <c r="AI45" s="4">
        <v>0.85</v>
      </c>
      <c r="AJ45" s="4">
        <v>0.9</v>
      </c>
      <c r="AK45" s="4">
        <v>0.9</v>
      </c>
      <c r="AL45" s="4">
        <v>23.36</v>
      </c>
      <c r="AM45" s="4">
        <v>0.97</v>
      </c>
      <c r="AN45" s="4">
        <v>9.14</v>
      </c>
      <c r="AO45" s="4">
        <v>8.7899999999999991</v>
      </c>
    </row>
    <row r="46" spans="1:41" x14ac:dyDescent="0.2">
      <c r="A46" s="5" t="s">
        <v>49</v>
      </c>
      <c r="B46">
        <v>1.0900000000000001</v>
      </c>
      <c r="C46">
        <v>2.37</v>
      </c>
      <c r="D46">
        <v>0.46</v>
      </c>
      <c r="E46">
        <v>12</v>
      </c>
      <c r="F46">
        <v>-0.97</v>
      </c>
      <c r="G46" s="5">
        <v>6752</v>
      </c>
      <c r="H46">
        <v>-1.55</v>
      </c>
      <c r="I46">
        <v>12.5</v>
      </c>
      <c r="J46">
        <v>0.25</v>
      </c>
      <c r="K46" t="s">
        <v>82</v>
      </c>
      <c r="L46">
        <v>30</v>
      </c>
      <c r="N46">
        <v>1</v>
      </c>
      <c r="O46">
        <v>5.2</v>
      </c>
      <c r="P46">
        <v>-7.73</v>
      </c>
      <c r="Q46">
        <v>24.5</v>
      </c>
      <c r="R46">
        <v>4.6550000000000002</v>
      </c>
      <c r="S46" s="5" t="s">
        <v>320</v>
      </c>
      <c r="T46" s="2">
        <v>0.65697916666666667</v>
      </c>
      <c r="U46" t="s">
        <v>162</v>
      </c>
      <c r="V46">
        <v>337.02</v>
      </c>
      <c r="W46">
        <v>13.27</v>
      </c>
      <c r="X46">
        <v>10.4</v>
      </c>
      <c r="Y46">
        <v>4.8</v>
      </c>
      <c r="Z46">
        <v>9.3000000000000007</v>
      </c>
      <c r="AA46">
        <v>-4</v>
      </c>
      <c r="AB46">
        <v>2.4</v>
      </c>
      <c r="AC46" s="8"/>
      <c r="AD46" s="4">
        <v>88.9</v>
      </c>
      <c r="AE46" s="4">
        <v>3.7</v>
      </c>
      <c r="AF46" s="4">
        <v>92.9</v>
      </c>
      <c r="AG46" s="4" t="s">
        <v>109</v>
      </c>
      <c r="AH46" s="4" t="s">
        <v>109</v>
      </c>
      <c r="AI46" s="4">
        <v>1.23</v>
      </c>
      <c r="AJ46" s="4">
        <v>0.47</v>
      </c>
      <c r="AK46" s="4">
        <v>0.98</v>
      </c>
      <c r="AL46" s="4">
        <v>17.670000000000002</v>
      </c>
      <c r="AM46" s="4">
        <v>3.41</v>
      </c>
      <c r="AN46" s="4">
        <v>8.58</v>
      </c>
      <c r="AO46" s="4">
        <v>9.18</v>
      </c>
    </row>
    <row r="47" spans="1:41" x14ac:dyDescent="0.2">
      <c r="A47" s="5" t="s">
        <v>50</v>
      </c>
      <c r="B47">
        <v>6.44</v>
      </c>
      <c r="C47">
        <v>5.32</v>
      </c>
      <c r="D47">
        <v>1.21</v>
      </c>
      <c r="E47">
        <v>12.7</v>
      </c>
      <c r="F47">
        <v>-1.49</v>
      </c>
      <c r="G47" s="5">
        <v>6779</v>
      </c>
      <c r="H47">
        <v>-2</v>
      </c>
      <c r="I47">
        <v>12.75</v>
      </c>
      <c r="J47">
        <v>0.5</v>
      </c>
      <c r="K47" t="s">
        <v>78</v>
      </c>
      <c r="L47">
        <v>30</v>
      </c>
      <c r="N47">
        <v>0.98</v>
      </c>
      <c r="O47">
        <v>9.1999999999999993</v>
      </c>
      <c r="P47">
        <v>-7.41</v>
      </c>
      <c r="Q47">
        <v>20.8</v>
      </c>
      <c r="R47">
        <v>3.9049999999999998</v>
      </c>
      <c r="S47" s="5" t="s">
        <v>321</v>
      </c>
      <c r="T47" s="2">
        <v>0.67434780092592594</v>
      </c>
      <c r="U47" t="s">
        <v>163</v>
      </c>
      <c r="V47">
        <v>328.77</v>
      </c>
      <c r="W47">
        <v>-2.8</v>
      </c>
      <c r="X47">
        <v>8</v>
      </c>
      <c r="Y47">
        <v>4.3</v>
      </c>
      <c r="Z47">
        <v>6.8</v>
      </c>
      <c r="AA47">
        <v>-4.0999999999999996</v>
      </c>
      <c r="AB47">
        <v>-0.4</v>
      </c>
      <c r="AC47" s="8"/>
      <c r="AD47" s="4">
        <v>8</v>
      </c>
      <c r="AE47" s="4">
        <v>5</v>
      </c>
      <c r="AF47" s="4">
        <v>8</v>
      </c>
      <c r="AG47" s="4" t="s">
        <v>109</v>
      </c>
      <c r="AH47" s="4" t="s">
        <v>109</v>
      </c>
      <c r="AI47" s="4">
        <v>0.95</v>
      </c>
      <c r="AJ47" s="4">
        <v>0.9</v>
      </c>
      <c r="AK47" s="4">
        <v>1.2</v>
      </c>
      <c r="AL47" s="4" t="s">
        <v>109</v>
      </c>
      <c r="AM47" s="4" t="s">
        <v>109</v>
      </c>
      <c r="AN47" s="4" t="s">
        <v>109</v>
      </c>
      <c r="AO47" s="4">
        <v>8.83</v>
      </c>
    </row>
    <row r="48" spans="1:41" x14ac:dyDescent="0.2">
      <c r="A48" s="5" t="s">
        <v>51</v>
      </c>
      <c r="B48">
        <v>1.79</v>
      </c>
      <c r="C48">
        <v>3.16</v>
      </c>
      <c r="D48">
        <v>0.56999999999999995</v>
      </c>
      <c r="E48">
        <v>12.8</v>
      </c>
      <c r="F48">
        <v>-1.35</v>
      </c>
      <c r="G48" s="5">
        <v>6809</v>
      </c>
      <c r="H48">
        <v>-1.93</v>
      </c>
      <c r="I48">
        <v>13</v>
      </c>
      <c r="J48">
        <v>0.25</v>
      </c>
      <c r="K48" t="s">
        <v>82</v>
      </c>
      <c r="L48" s="1">
        <v>11293</v>
      </c>
      <c r="M48" t="s">
        <v>90</v>
      </c>
      <c r="N48">
        <v>0.87</v>
      </c>
      <c r="O48">
        <v>3.9</v>
      </c>
      <c r="P48">
        <v>-7.57</v>
      </c>
      <c r="Q48">
        <v>18.3</v>
      </c>
      <c r="R48">
        <v>3.5150000000000001</v>
      </c>
      <c r="S48" s="5" t="s">
        <v>322</v>
      </c>
      <c r="T48" s="2">
        <v>0.67431249999999998</v>
      </c>
      <c r="U48" t="s">
        <v>164</v>
      </c>
      <c r="V48">
        <v>28.74</v>
      </c>
      <c r="W48">
        <v>42.19</v>
      </c>
      <c r="X48">
        <v>76.5</v>
      </c>
      <c r="Y48">
        <v>71.599999999999994</v>
      </c>
      <c r="Z48">
        <v>49.7</v>
      </c>
      <c r="AA48">
        <v>27.3</v>
      </c>
      <c r="AB48">
        <v>51.4</v>
      </c>
      <c r="AC48" s="8"/>
      <c r="AD48" s="4">
        <v>72.3</v>
      </c>
      <c r="AE48" s="4">
        <v>0.2</v>
      </c>
      <c r="AF48" s="4">
        <v>87</v>
      </c>
      <c r="AG48" s="4">
        <v>0.4</v>
      </c>
      <c r="AH48" s="4">
        <v>0.1</v>
      </c>
      <c r="AI48" s="4">
        <v>0.8</v>
      </c>
      <c r="AJ48" s="4">
        <v>0.82</v>
      </c>
      <c r="AK48" s="4">
        <v>1.22</v>
      </c>
      <c r="AL48" s="4">
        <v>25.25</v>
      </c>
      <c r="AM48" s="4">
        <v>-0.97</v>
      </c>
      <c r="AN48" s="4">
        <v>9.85</v>
      </c>
      <c r="AO48" s="4">
        <v>10.02</v>
      </c>
    </row>
    <row r="49" spans="1:41" x14ac:dyDescent="0.2">
      <c r="A49" s="5" t="s">
        <v>52</v>
      </c>
      <c r="B49">
        <v>12.9</v>
      </c>
      <c r="C49">
        <v>10.7</v>
      </c>
      <c r="D49">
        <v>1.2</v>
      </c>
      <c r="E49">
        <v>10.8</v>
      </c>
      <c r="F49">
        <v>-1.25</v>
      </c>
      <c r="G49" s="5">
        <v>6838</v>
      </c>
      <c r="H49">
        <v>-0.82</v>
      </c>
      <c r="I49">
        <v>11</v>
      </c>
      <c r="J49">
        <v>0.38</v>
      </c>
      <c r="K49" t="s">
        <v>76</v>
      </c>
      <c r="L49">
        <v>16</v>
      </c>
      <c r="M49">
        <v>11</v>
      </c>
      <c r="N49">
        <v>-1</v>
      </c>
      <c r="O49">
        <v>6.7</v>
      </c>
      <c r="P49">
        <v>-5.61</v>
      </c>
      <c r="Q49">
        <v>13</v>
      </c>
      <c r="R49">
        <v>3.746</v>
      </c>
      <c r="S49" s="5" t="s">
        <v>323</v>
      </c>
      <c r="T49" s="2">
        <v>0.67850011574074076</v>
      </c>
      <c r="U49" t="s">
        <v>165</v>
      </c>
      <c r="V49">
        <v>352.67</v>
      </c>
      <c r="W49">
        <v>19.46</v>
      </c>
      <c r="X49">
        <v>10</v>
      </c>
      <c r="Y49">
        <v>3.8</v>
      </c>
      <c r="Z49">
        <v>9.4</v>
      </c>
      <c r="AA49">
        <v>-1.2</v>
      </c>
      <c r="AB49">
        <v>3.3</v>
      </c>
      <c r="AC49" s="8"/>
      <c r="AD49" s="4">
        <v>8.1</v>
      </c>
      <c r="AE49" s="4">
        <v>1.5</v>
      </c>
      <c r="AF49" s="4">
        <v>16.7</v>
      </c>
      <c r="AG49" s="4">
        <v>12.4</v>
      </c>
      <c r="AH49" s="4">
        <v>0.6</v>
      </c>
      <c r="AI49" s="4">
        <v>1.68</v>
      </c>
      <c r="AJ49" s="4">
        <v>0.15</v>
      </c>
      <c r="AK49" s="4">
        <v>0.61</v>
      </c>
      <c r="AL49" s="4">
        <v>15.11</v>
      </c>
      <c r="AM49" s="4">
        <v>4.79</v>
      </c>
      <c r="AN49" s="4">
        <v>7.78</v>
      </c>
      <c r="AO49" s="4">
        <v>8.8000000000000007</v>
      </c>
    </row>
    <row r="50" spans="1:41" x14ac:dyDescent="0.2">
      <c r="A50" s="5" t="s">
        <v>53</v>
      </c>
      <c r="B50">
        <v>0.48</v>
      </c>
      <c r="C50">
        <v>2.39</v>
      </c>
      <c r="D50">
        <v>0.2</v>
      </c>
      <c r="E50">
        <v>13.2</v>
      </c>
      <c r="F50">
        <v>-1.0900000000000001</v>
      </c>
      <c r="G50" s="5">
        <v>6934</v>
      </c>
      <c r="H50">
        <v>-1.56</v>
      </c>
      <c r="I50">
        <v>11.75</v>
      </c>
      <c r="J50">
        <v>0.25</v>
      </c>
      <c r="K50" t="s">
        <v>76</v>
      </c>
      <c r="L50" s="1">
        <v>11293</v>
      </c>
      <c r="M50" t="s">
        <v>94</v>
      </c>
      <c r="N50">
        <v>0.25</v>
      </c>
      <c r="O50">
        <v>12.8</v>
      </c>
      <c r="P50">
        <v>-7.45</v>
      </c>
      <c r="Q50">
        <v>21.6</v>
      </c>
      <c r="R50">
        <v>3.9980000000000002</v>
      </c>
      <c r="S50" s="5" t="s">
        <v>324</v>
      </c>
      <c r="T50" s="2">
        <v>0.68304652777777775</v>
      </c>
      <c r="U50" t="s">
        <v>166</v>
      </c>
      <c r="V50">
        <v>350.97</v>
      </c>
      <c r="W50">
        <v>15.97</v>
      </c>
      <c r="X50">
        <v>2.2000000000000002</v>
      </c>
      <c r="Y50">
        <v>5.9</v>
      </c>
      <c r="Z50">
        <v>2.1</v>
      </c>
      <c r="AA50">
        <v>-0.3</v>
      </c>
      <c r="AB50">
        <v>0.6</v>
      </c>
      <c r="AC50" s="8"/>
      <c r="AD50" s="4">
        <v>70.7</v>
      </c>
      <c r="AE50" s="4">
        <v>0.2</v>
      </c>
      <c r="AF50" s="4">
        <v>78.599999999999994</v>
      </c>
      <c r="AG50" s="4">
        <v>4</v>
      </c>
      <c r="AH50" s="4">
        <v>0.2</v>
      </c>
      <c r="AI50" s="4">
        <v>1.65</v>
      </c>
      <c r="AJ50" s="4">
        <v>1.1599999999999999</v>
      </c>
      <c r="AK50" s="4">
        <v>4.33</v>
      </c>
      <c r="AL50" s="4">
        <v>17.95</v>
      </c>
      <c r="AM50" s="4">
        <v>3.64</v>
      </c>
      <c r="AN50" s="4">
        <v>7.9</v>
      </c>
      <c r="AO50" s="4">
        <v>8.93</v>
      </c>
    </row>
    <row r="51" spans="1:41" x14ac:dyDescent="0.2">
      <c r="A51" s="5" t="s">
        <v>54</v>
      </c>
      <c r="B51">
        <v>3.57</v>
      </c>
      <c r="C51">
        <v>6.58</v>
      </c>
      <c r="D51">
        <v>0.54</v>
      </c>
      <c r="E51">
        <v>13.1</v>
      </c>
      <c r="F51">
        <v>-0.96</v>
      </c>
      <c r="G51" s="5">
        <v>6981</v>
      </c>
      <c r="H51">
        <v>-1.48</v>
      </c>
      <c r="I51">
        <v>11.5</v>
      </c>
      <c r="J51">
        <v>0.25</v>
      </c>
      <c r="K51" t="s">
        <v>76</v>
      </c>
      <c r="L51" s="1">
        <v>11293</v>
      </c>
      <c r="M51" t="s">
        <v>83</v>
      </c>
      <c r="N51">
        <v>0.14000000000000001</v>
      </c>
      <c r="O51">
        <v>12.9</v>
      </c>
      <c r="P51">
        <v>-7.04</v>
      </c>
      <c r="Q51">
        <v>13.9</v>
      </c>
      <c r="R51">
        <v>3.3039999999999998</v>
      </c>
      <c r="S51" s="5" t="s">
        <v>325</v>
      </c>
      <c r="T51" s="2">
        <v>0.68458472222222222</v>
      </c>
      <c r="U51" t="s">
        <v>167</v>
      </c>
      <c r="V51">
        <v>317.74</v>
      </c>
      <c r="W51">
        <v>-15.82</v>
      </c>
      <c r="X51">
        <v>15.4</v>
      </c>
      <c r="Y51">
        <v>11.2</v>
      </c>
      <c r="Z51">
        <v>11</v>
      </c>
      <c r="AA51">
        <v>-10</v>
      </c>
      <c r="AB51">
        <v>-4.2</v>
      </c>
      <c r="AC51" s="8"/>
      <c r="AD51" s="4">
        <v>361.4</v>
      </c>
      <c r="AE51" s="4">
        <v>1.7</v>
      </c>
      <c r="AF51" s="4">
        <v>357</v>
      </c>
      <c r="AG51" s="4" t="s">
        <v>109</v>
      </c>
      <c r="AH51" s="4" t="s">
        <v>109</v>
      </c>
      <c r="AI51" s="4">
        <v>0.8</v>
      </c>
      <c r="AJ51" s="4">
        <v>0.97</v>
      </c>
      <c r="AK51" s="4">
        <v>1.05</v>
      </c>
      <c r="AL51" s="4">
        <v>20.29</v>
      </c>
      <c r="AM51" s="4">
        <v>1.65</v>
      </c>
      <c r="AN51" s="4">
        <v>9.2100000000000009</v>
      </c>
      <c r="AO51" s="4">
        <v>9.2200000000000006</v>
      </c>
    </row>
    <row r="52" spans="1:41" x14ac:dyDescent="0.2">
      <c r="A52" s="5" t="s">
        <v>55</v>
      </c>
      <c r="B52">
        <v>2.82</v>
      </c>
      <c r="C52">
        <v>3.8</v>
      </c>
      <c r="D52">
        <v>0.75</v>
      </c>
      <c r="E52">
        <v>13.8</v>
      </c>
      <c r="F52">
        <v>-1.55</v>
      </c>
      <c r="G52" s="5">
        <v>7078</v>
      </c>
      <c r="H52">
        <v>-2.33</v>
      </c>
      <c r="I52">
        <v>12.75</v>
      </c>
      <c r="J52">
        <v>0.25</v>
      </c>
      <c r="K52" t="s">
        <v>76</v>
      </c>
      <c r="L52">
        <v>11</v>
      </c>
      <c r="M52" t="s">
        <v>95</v>
      </c>
      <c r="N52">
        <v>0.67</v>
      </c>
      <c r="O52">
        <v>10.4</v>
      </c>
      <c r="P52">
        <v>-9.19</v>
      </c>
      <c r="Q52">
        <v>41.6</v>
      </c>
      <c r="R52">
        <v>4.827</v>
      </c>
      <c r="S52" s="5" t="s">
        <v>326</v>
      </c>
      <c r="T52" s="2">
        <v>0.68557708333333334</v>
      </c>
      <c r="U52" t="s">
        <v>168</v>
      </c>
      <c r="V52">
        <v>351.93</v>
      </c>
      <c r="W52">
        <v>15.7</v>
      </c>
      <c r="X52">
        <v>8.9</v>
      </c>
      <c r="Y52">
        <v>2.7</v>
      </c>
      <c r="Z52">
        <v>8.5</v>
      </c>
      <c r="AA52">
        <v>-1.2</v>
      </c>
      <c r="AB52">
        <v>2.4</v>
      </c>
      <c r="AC52" s="8"/>
      <c r="AD52" s="4">
        <v>193.8</v>
      </c>
      <c r="AE52" s="4">
        <v>0.6</v>
      </c>
      <c r="AF52" s="4">
        <v>201.9</v>
      </c>
      <c r="AG52" s="4" t="s">
        <v>109</v>
      </c>
      <c r="AH52" s="4" t="s">
        <v>109</v>
      </c>
      <c r="AI52" s="4">
        <v>1.55</v>
      </c>
      <c r="AJ52" s="4">
        <v>0.94</v>
      </c>
      <c r="AK52" s="4">
        <v>1.63</v>
      </c>
      <c r="AL52" s="4">
        <v>20.05</v>
      </c>
      <c r="AM52" s="4">
        <v>2.31</v>
      </c>
      <c r="AN52" s="4">
        <v>8.7799999999999994</v>
      </c>
      <c r="AO52" s="4">
        <v>9.14</v>
      </c>
    </row>
    <row r="53" spans="1:41" x14ac:dyDescent="0.2">
      <c r="A53" s="5" t="s">
        <v>56</v>
      </c>
      <c r="B53">
        <v>2.2999999999999998</v>
      </c>
      <c r="C53">
        <v>5.1100000000000003</v>
      </c>
      <c r="D53">
        <v>0.45</v>
      </c>
      <c r="E53">
        <v>13.7</v>
      </c>
      <c r="F53">
        <v>-2</v>
      </c>
      <c r="G53" s="5">
        <v>7089</v>
      </c>
      <c r="H53">
        <v>-1.66</v>
      </c>
      <c r="I53">
        <v>11.75</v>
      </c>
      <c r="J53">
        <v>0.25</v>
      </c>
      <c r="K53" t="s">
        <v>82</v>
      </c>
      <c r="L53" s="1">
        <v>11293</v>
      </c>
      <c r="M53" t="s">
        <v>77</v>
      </c>
      <c r="N53">
        <v>0.92</v>
      </c>
      <c r="O53">
        <v>10.4</v>
      </c>
      <c r="P53">
        <v>-9.0299999999999994</v>
      </c>
      <c r="Q53">
        <v>41.8</v>
      </c>
      <c r="R53">
        <v>4.5309999999999997</v>
      </c>
      <c r="S53" s="5" t="s">
        <v>327</v>
      </c>
      <c r="T53" s="2">
        <v>0.68588391203703702</v>
      </c>
      <c r="U53" t="s">
        <v>169</v>
      </c>
      <c r="V53">
        <v>342.37</v>
      </c>
      <c r="W53">
        <v>6.94</v>
      </c>
      <c r="X53">
        <v>10.1</v>
      </c>
      <c r="Y53">
        <v>3.6</v>
      </c>
      <c r="Z53">
        <v>9.6</v>
      </c>
      <c r="AA53">
        <v>-3</v>
      </c>
      <c r="AB53">
        <v>1.2</v>
      </c>
      <c r="AC53" s="8"/>
      <c r="AD53" s="4">
        <v>6.7</v>
      </c>
      <c r="AE53" s="4">
        <v>6</v>
      </c>
      <c r="AF53" s="4">
        <v>11.5</v>
      </c>
      <c r="AG53" s="4" t="s">
        <v>109</v>
      </c>
      <c r="AH53" s="4" t="s">
        <v>109</v>
      </c>
      <c r="AI53" s="4">
        <v>1.86</v>
      </c>
      <c r="AJ53" s="4">
        <v>0.15</v>
      </c>
      <c r="AK53" s="4">
        <v>0.85</v>
      </c>
      <c r="AL53" s="4">
        <v>17.2</v>
      </c>
      <c r="AM53" s="4">
        <v>4.67</v>
      </c>
      <c r="AN53" s="4">
        <v>7.66</v>
      </c>
      <c r="AO53" s="4">
        <v>9.0500000000000007</v>
      </c>
    </row>
    <row r="54" spans="1:41" x14ac:dyDescent="0.2">
      <c r="A54" s="5" t="s">
        <v>57</v>
      </c>
      <c r="B54">
        <v>0.55000000000000004</v>
      </c>
      <c r="C54">
        <v>7.6</v>
      </c>
      <c r="D54">
        <v>7.0000000000000007E-2</v>
      </c>
      <c r="E54">
        <v>13.8</v>
      </c>
      <c r="F54">
        <v>-1.93</v>
      </c>
      <c r="G54" s="5">
        <v>7099</v>
      </c>
      <c r="H54">
        <v>-2.33</v>
      </c>
      <c r="I54">
        <v>13</v>
      </c>
      <c r="J54">
        <v>0.25</v>
      </c>
      <c r="K54" t="s">
        <v>82</v>
      </c>
      <c r="L54" s="1">
        <v>11263</v>
      </c>
      <c r="M54" t="s">
        <v>96</v>
      </c>
      <c r="N54">
        <v>0.89</v>
      </c>
      <c r="O54">
        <v>7.1</v>
      </c>
      <c r="P54">
        <v>-7.45</v>
      </c>
      <c r="Q54">
        <v>25.4</v>
      </c>
      <c r="R54">
        <v>4.8310000000000004</v>
      </c>
      <c r="S54" s="5" t="s">
        <v>328</v>
      </c>
      <c r="T54" s="2">
        <v>0.68657500000000005</v>
      </c>
      <c r="U54" t="s">
        <v>170</v>
      </c>
      <c r="V54">
        <v>345.08</v>
      </c>
      <c r="W54">
        <v>9.19</v>
      </c>
      <c r="X54">
        <v>8.1999999999999993</v>
      </c>
      <c r="Y54">
        <v>2.5</v>
      </c>
      <c r="Z54">
        <v>7.8</v>
      </c>
      <c r="AA54">
        <v>-2.1</v>
      </c>
      <c r="AB54">
        <v>1.3</v>
      </c>
      <c r="AC54" s="8"/>
      <c r="AD54" s="4">
        <v>-136.30000000000001</v>
      </c>
      <c r="AE54" s="4">
        <v>0.7</v>
      </c>
      <c r="AF54" s="4">
        <v>-130.6</v>
      </c>
      <c r="AG54" s="4" t="s">
        <v>109</v>
      </c>
      <c r="AH54" s="4" t="s">
        <v>109</v>
      </c>
      <c r="AI54" s="4">
        <v>0.7</v>
      </c>
      <c r="AJ54" s="4">
        <v>1.18</v>
      </c>
      <c r="AK54" s="4">
        <v>1.25</v>
      </c>
      <c r="AL54" s="4">
        <v>22.52</v>
      </c>
      <c r="AM54" s="4">
        <v>1.82</v>
      </c>
      <c r="AN54" s="4">
        <v>8.7899999999999991</v>
      </c>
      <c r="AO54" s="4">
        <v>8.57</v>
      </c>
    </row>
    <row r="55" spans="1:41" x14ac:dyDescent="0.2">
      <c r="A55" s="5" t="s">
        <v>58</v>
      </c>
      <c r="B55">
        <v>0.2</v>
      </c>
      <c r="C55">
        <v>3.3</v>
      </c>
      <c r="D55">
        <v>0.06</v>
      </c>
      <c r="E55">
        <v>12.7</v>
      </c>
      <c r="F55">
        <v>-0.82</v>
      </c>
      <c r="G55" s="5" t="s">
        <v>435</v>
      </c>
      <c r="H55">
        <v>-1.74</v>
      </c>
      <c r="I55">
        <v>12</v>
      </c>
      <c r="J55">
        <v>0.38</v>
      </c>
      <c r="K55" t="s">
        <v>76</v>
      </c>
      <c r="L55">
        <v>32</v>
      </c>
      <c r="N55">
        <v>0.53</v>
      </c>
      <c r="O55">
        <v>21.4</v>
      </c>
      <c r="P55">
        <v>-5.29</v>
      </c>
      <c r="Q55">
        <v>3.5</v>
      </c>
      <c r="R55">
        <v>1.5449999999999999</v>
      </c>
      <c r="S55" s="5" t="s">
        <v>329</v>
      </c>
      <c r="T55" s="2">
        <v>0.68925763888888891</v>
      </c>
      <c r="U55" t="s">
        <v>171</v>
      </c>
      <c r="V55">
        <v>3.37</v>
      </c>
      <c r="W55">
        <v>23.01</v>
      </c>
      <c r="X55">
        <v>6.4</v>
      </c>
      <c r="Y55">
        <v>3.3</v>
      </c>
      <c r="Z55">
        <v>5.9</v>
      </c>
      <c r="AA55">
        <v>0.3</v>
      </c>
      <c r="AB55">
        <v>2.5</v>
      </c>
      <c r="AC55" s="8"/>
      <c r="AD55" s="4">
        <v>-34.1</v>
      </c>
      <c r="AE55" s="4">
        <v>0.3</v>
      </c>
      <c r="AF55" s="4">
        <v>-23</v>
      </c>
      <c r="AG55" s="4">
        <v>4.0999999999999996</v>
      </c>
      <c r="AH55" s="4">
        <v>0.3</v>
      </c>
      <c r="AI55" s="4">
        <v>1.53</v>
      </c>
      <c r="AJ55" s="4">
        <v>0.56000000000000005</v>
      </c>
      <c r="AK55" s="4">
        <v>1.73</v>
      </c>
      <c r="AL55" s="4">
        <v>18.940000000000001</v>
      </c>
      <c r="AM55" s="4">
        <v>3.08</v>
      </c>
      <c r="AN55" s="4">
        <v>8.06</v>
      </c>
      <c r="AO55" s="4">
        <v>9</v>
      </c>
    </row>
    <row r="56" spans="1:41" x14ac:dyDescent="0.2">
      <c r="A56" s="5" t="s">
        <v>59</v>
      </c>
      <c r="B56">
        <v>2.95</v>
      </c>
      <c r="C56">
        <v>5.32</v>
      </c>
      <c r="D56">
        <v>0.55000000000000004</v>
      </c>
      <c r="E56">
        <v>11.1</v>
      </c>
      <c r="F56">
        <v>-1.32</v>
      </c>
      <c r="G56" s="5" t="s">
        <v>435</v>
      </c>
      <c r="H56">
        <v>-0.81</v>
      </c>
      <c r="I56">
        <v>9</v>
      </c>
      <c r="J56">
        <v>0.38</v>
      </c>
      <c r="K56" t="s">
        <v>76</v>
      </c>
      <c r="L56">
        <v>32</v>
      </c>
      <c r="N56">
        <v>-1</v>
      </c>
      <c r="O56">
        <v>15.8</v>
      </c>
      <c r="P56">
        <v>-4.47</v>
      </c>
      <c r="Q56">
        <v>4.3</v>
      </c>
      <c r="R56">
        <v>3.2970000000000002</v>
      </c>
      <c r="S56" s="5" t="s">
        <v>330</v>
      </c>
      <c r="T56" s="2">
        <v>0.69404456018518512</v>
      </c>
      <c r="U56" t="s">
        <v>172</v>
      </c>
      <c r="V56">
        <v>351.91</v>
      </c>
      <c r="W56">
        <v>12.1</v>
      </c>
      <c r="X56">
        <v>8.3000000000000007</v>
      </c>
      <c r="Y56">
        <v>2.1</v>
      </c>
      <c r="Z56">
        <v>8</v>
      </c>
      <c r="AA56">
        <v>-1.1000000000000001</v>
      </c>
      <c r="AB56">
        <v>1.7</v>
      </c>
      <c r="AC56" s="8"/>
      <c r="AD56" s="4" t="s">
        <v>109</v>
      </c>
      <c r="AE56" s="4" t="s">
        <v>109</v>
      </c>
      <c r="AF56" s="4" t="s">
        <v>109</v>
      </c>
      <c r="AG56" s="4" t="s">
        <v>109</v>
      </c>
      <c r="AH56" s="4" t="s">
        <v>109</v>
      </c>
      <c r="AI56" s="4">
        <v>1</v>
      </c>
      <c r="AJ56" s="4">
        <v>0.5</v>
      </c>
      <c r="AK56" s="4">
        <v>0.5</v>
      </c>
      <c r="AL56" s="4">
        <v>20.75</v>
      </c>
      <c r="AM56" s="4">
        <v>2.5</v>
      </c>
      <c r="AN56" s="4">
        <v>8.07</v>
      </c>
      <c r="AO56" s="4">
        <v>7.87</v>
      </c>
    </row>
    <row r="57" spans="1:41" x14ac:dyDescent="0.2">
      <c r="A57" s="5" t="s">
        <v>60</v>
      </c>
      <c r="B57">
        <v>1.68</v>
      </c>
      <c r="C57">
        <v>7.82</v>
      </c>
      <c r="D57">
        <v>0.21</v>
      </c>
      <c r="E57">
        <v>10.9</v>
      </c>
      <c r="F57">
        <v>-1.21</v>
      </c>
      <c r="G57" s="5" t="s">
        <v>435</v>
      </c>
      <c r="H57">
        <v>-2.34</v>
      </c>
      <c r="I57">
        <v>13</v>
      </c>
      <c r="J57">
        <v>0.38</v>
      </c>
      <c r="K57" t="s">
        <v>76</v>
      </c>
      <c r="L57">
        <v>32</v>
      </c>
      <c r="N57">
        <v>1</v>
      </c>
      <c r="O57">
        <v>19.399999999999999</v>
      </c>
      <c r="P57">
        <v>-5.07</v>
      </c>
      <c r="Q57">
        <v>4.3</v>
      </c>
      <c r="R57">
        <v>1.9379999999999999</v>
      </c>
      <c r="S57" s="5" t="s">
        <v>331</v>
      </c>
      <c r="T57" s="2">
        <v>0.69561620370370369</v>
      </c>
      <c r="U57" t="s">
        <v>173</v>
      </c>
      <c r="V57">
        <v>59.01</v>
      </c>
      <c r="W57">
        <v>40.909999999999997</v>
      </c>
      <c r="X57">
        <v>7.1</v>
      </c>
      <c r="Y57">
        <v>8.4</v>
      </c>
      <c r="Z57">
        <v>2.8</v>
      </c>
      <c r="AA57">
        <v>4.5999999999999996</v>
      </c>
      <c r="AB57">
        <v>4.7</v>
      </c>
      <c r="AC57" s="8"/>
      <c r="AD57" s="4">
        <v>-244.2</v>
      </c>
      <c r="AE57" s="4">
        <v>0.2</v>
      </c>
      <c r="AF57" s="4">
        <v>-228</v>
      </c>
      <c r="AG57" s="4">
        <v>7.1</v>
      </c>
      <c r="AH57" s="4">
        <v>0.4</v>
      </c>
      <c r="AI57" s="4">
        <v>1.53</v>
      </c>
      <c r="AJ57" s="4">
        <v>0.62</v>
      </c>
      <c r="AK57" s="4">
        <v>1.69</v>
      </c>
      <c r="AL57" s="4">
        <v>16.59</v>
      </c>
      <c r="AM57" s="4">
        <v>3.55</v>
      </c>
      <c r="AN57" s="4">
        <v>8.51</v>
      </c>
      <c r="AO57" s="4">
        <v>9.3000000000000007</v>
      </c>
    </row>
    <row r="58" spans="1:41" x14ac:dyDescent="0.2">
      <c r="A58" s="5" t="s">
        <v>61</v>
      </c>
      <c r="B58">
        <v>5.13</v>
      </c>
      <c r="C58">
        <v>5.0999999999999996</v>
      </c>
      <c r="D58">
        <v>1</v>
      </c>
      <c r="E58">
        <v>13.6</v>
      </c>
      <c r="F58">
        <v>-2.33</v>
      </c>
      <c r="G58" s="5"/>
      <c r="P58" s="2"/>
      <c r="S58" s="5" t="s">
        <v>332</v>
      </c>
      <c r="T58" s="2">
        <v>0.69929155092592599</v>
      </c>
      <c r="U58" t="s">
        <v>174</v>
      </c>
      <c r="V58">
        <v>73.64</v>
      </c>
      <c r="W58">
        <v>40.31</v>
      </c>
      <c r="X58">
        <v>30.5</v>
      </c>
      <c r="Y58">
        <v>29.8</v>
      </c>
      <c r="Z58">
        <v>6.5</v>
      </c>
      <c r="AA58">
        <v>22.3</v>
      </c>
      <c r="AB58">
        <v>19.7</v>
      </c>
      <c r="AC58" s="8"/>
      <c r="AD58" s="4">
        <v>-154.19999999999999</v>
      </c>
      <c r="AE58" s="4">
        <v>7.6</v>
      </c>
      <c r="AF58" s="4">
        <v>-138.4</v>
      </c>
      <c r="AG58" s="4" t="s">
        <v>109</v>
      </c>
      <c r="AH58" s="4" t="s">
        <v>109</v>
      </c>
      <c r="AI58" s="4">
        <v>1.5</v>
      </c>
      <c r="AJ58" s="4">
        <v>0.12</v>
      </c>
      <c r="AK58" s="4">
        <v>0.36</v>
      </c>
      <c r="AL58" s="4">
        <v>16.77</v>
      </c>
      <c r="AM58" s="4">
        <v>3.54</v>
      </c>
      <c r="AN58" s="4">
        <v>8.3000000000000007</v>
      </c>
      <c r="AO58" s="4">
        <v>9.15</v>
      </c>
    </row>
    <row r="59" spans="1:41" x14ac:dyDescent="0.2">
      <c r="A59" s="5" t="s">
        <v>62</v>
      </c>
      <c r="B59">
        <v>5.75</v>
      </c>
      <c r="C59">
        <v>6.03</v>
      </c>
      <c r="D59">
        <v>0.95</v>
      </c>
      <c r="E59">
        <v>11.8</v>
      </c>
      <c r="F59">
        <v>-1.31</v>
      </c>
      <c r="G59" s="5"/>
      <c r="P59" s="2"/>
      <c r="S59" s="5" t="s">
        <v>333</v>
      </c>
      <c r="T59" s="2">
        <v>0.6994696759259259</v>
      </c>
      <c r="U59" t="s">
        <v>175</v>
      </c>
      <c r="V59">
        <v>15.72</v>
      </c>
      <c r="W59">
        <v>26.31</v>
      </c>
      <c r="X59">
        <v>4.8</v>
      </c>
      <c r="Y59">
        <v>4.5</v>
      </c>
      <c r="Z59">
        <v>4.2</v>
      </c>
      <c r="AA59">
        <v>1.2</v>
      </c>
      <c r="AB59">
        <v>2.1</v>
      </c>
      <c r="AC59" s="8"/>
      <c r="AD59" s="4">
        <v>-41.4</v>
      </c>
      <c r="AE59" s="4">
        <v>0.2</v>
      </c>
      <c r="AF59" s="4">
        <v>-27.9</v>
      </c>
      <c r="AG59" s="4">
        <v>4.5</v>
      </c>
      <c r="AH59" s="4">
        <v>0.4</v>
      </c>
      <c r="AI59" s="4">
        <v>1.34</v>
      </c>
      <c r="AJ59" s="4">
        <v>0.79</v>
      </c>
      <c r="AK59" s="4">
        <v>1.77</v>
      </c>
      <c r="AL59" s="4">
        <v>18.100000000000001</v>
      </c>
      <c r="AM59" s="4">
        <v>3.23</v>
      </c>
      <c r="AN59" s="4">
        <v>8.19</v>
      </c>
      <c r="AO59" s="4">
        <v>8.8699999999999992</v>
      </c>
    </row>
    <row r="60" spans="1:41" x14ac:dyDescent="0.2">
      <c r="A60" s="5" t="s">
        <v>63</v>
      </c>
      <c r="B60">
        <v>1.45</v>
      </c>
      <c r="C60">
        <v>4.0999999999999996</v>
      </c>
      <c r="D60">
        <v>0.35</v>
      </c>
      <c r="E60">
        <v>14.6</v>
      </c>
      <c r="F60">
        <v>-2.33</v>
      </c>
      <c r="G60" s="5"/>
      <c r="P60" s="2"/>
      <c r="S60" s="5" t="s">
        <v>334</v>
      </c>
      <c r="T60" s="2">
        <v>0.70290046296296294</v>
      </c>
      <c r="U60" t="s">
        <v>176</v>
      </c>
      <c r="V60">
        <v>339.19</v>
      </c>
      <c r="W60">
        <v>-1.85</v>
      </c>
      <c r="X60">
        <v>9.8000000000000007</v>
      </c>
      <c r="Y60">
        <v>3.7</v>
      </c>
      <c r="Z60">
        <v>9.1</v>
      </c>
      <c r="AA60">
        <v>-3.5</v>
      </c>
      <c r="AB60">
        <v>-0.3</v>
      </c>
      <c r="AC60" s="8"/>
      <c r="AD60" s="4" t="s">
        <v>109</v>
      </c>
      <c r="AE60" s="4" t="s">
        <v>109</v>
      </c>
      <c r="AF60" s="4" t="s">
        <v>109</v>
      </c>
      <c r="AG60" s="4" t="s">
        <v>109</v>
      </c>
      <c r="AH60" s="4" t="s">
        <v>109</v>
      </c>
      <c r="AI60" s="4">
        <v>0.56000000000000005</v>
      </c>
      <c r="AJ60" s="4">
        <v>0.39</v>
      </c>
      <c r="AK60" s="4">
        <v>0.34</v>
      </c>
      <c r="AL60" s="4" t="s">
        <v>109</v>
      </c>
      <c r="AM60" s="4" t="s">
        <v>109</v>
      </c>
      <c r="AN60" s="4" t="s">
        <v>109</v>
      </c>
      <c r="AO60" s="4">
        <v>8.11</v>
      </c>
    </row>
    <row r="61" spans="1:41" x14ac:dyDescent="0.2">
      <c r="A61" s="5" t="s">
        <v>64</v>
      </c>
      <c r="B61">
        <v>0.68</v>
      </c>
      <c r="C61">
        <v>11</v>
      </c>
      <c r="D61">
        <v>0.06</v>
      </c>
      <c r="E61">
        <v>12</v>
      </c>
      <c r="F61">
        <v>-1.5</v>
      </c>
      <c r="G61" s="5"/>
      <c r="P61" s="2"/>
      <c r="S61" s="5" t="s">
        <v>335</v>
      </c>
      <c r="T61" s="2">
        <v>0.70376516203703698</v>
      </c>
      <c r="U61" t="s">
        <v>177</v>
      </c>
      <c r="V61">
        <v>358.92</v>
      </c>
      <c r="W61">
        <v>13.52</v>
      </c>
      <c r="X61">
        <v>11.5</v>
      </c>
      <c r="Y61">
        <v>4.2</v>
      </c>
      <c r="Z61">
        <v>11.2</v>
      </c>
      <c r="AA61">
        <v>-0.2</v>
      </c>
      <c r="AB61">
        <v>2.7</v>
      </c>
      <c r="AC61" s="8"/>
      <c r="AD61" s="4">
        <v>87.3</v>
      </c>
      <c r="AE61" s="4">
        <v>3.4</v>
      </c>
      <c r="AF61" s="4">
        <v>96.8</v>
      </c>
      <c r="AG61" s="4" t="s">
        <v>109</v>
      </c>
      <c r="AH61" s="4" t="s">
        <v>109</v>
      </c>
      <c r="AI61" s="4">
        <v>1.53</v>
      </c>
      <c r="AJ61" s="4">
        <v>0.33</v>
      </c>
      <c r="AK61" s="4">
        <v>1</v>
      </c>
      <c r="AL61" s="4">
        <v>19.12</v>
      </c>
      <c r="AM61" s="4">
        <v>2.97</v>
      </c>
      <c r="AN61" s="4">
        <v>8.08</v>
      </c>
      <c r="AO61" s="4">
        <v>8.89</v>
      </c>
    </row>
    <row r="62" spans="1:41" x14ac:dyDescent="0.2">
      <c r="A62" s="5" t="s">
        <v>65</v>
      </c>
      <c r="B62">
        <v>0.39</v>
      </c>
      <c r="C62">
        <v>8.6999999999999993</v>
      </c>
      <c r="D62">
        <v>0.04</v>
      </c>
      <c r="E62">
        <v>7.4</v>
      </c>
      <c r="F62">
        <v>-0.12</v>
      </c>
      <c r="G62" s="5"/>
      <c r="P62" s="2"/>
      <c r="S62" s="5" t="s">
        <v>336</v>
      </c>
      <c r="T62" s="2">
        <v>0.70635474537037035</v>
      </c>
      <c r="U62" t="s">
        <v>178</v>
      </c>
      <c r="V62">
        <v>15.14</v>
      </c>
      <c r="W62">
        <v>23.08</v>
      </c>
      <c r="X62">
        <v>4.4000000000000004</v>
      </c>
      <c r="Y62">
        <v>4.5999999999999996</v>
      </c>
      <c r="Z62">
        <v>3.9</v>
      </c>
      <c r="AA62">
        <v>1.1000000000000001</v>
      </c>
      <c r="AB62">
        <v>1.7</v>
      </c>
      <c r="AC62" s="8"/>
      <c r="AD62" s="4">
        <v>75.2</v>
      </c>
      <c r="AE62" s="4">
        <v>0.7</v>
      </c>
      <c r="AF62" s="4">
        <v>88.5</v>
      </c>
      <c r="AG62" s="4">
        <v>6.6</v>
      </c>
      <c r="AH62" s="4">
        <v>0.8</v>
      </c>
      <c r="AI62" s="4">
        <v>1.38</v>
      </c>
      <c r="AJ62" s="4">
        <v>0.77</v>
      </c>
      <c r="AK62" s="4">
        <v>1.95</v>
      </c>
      <c r="AL62" s="4">
        <v>17.7</v>
      </c>
      <c r="AM62" s="4">
        <v>3.54</v>
      </c>
      <c r="AN62" s="4">
        <v>8.2100000000000009</v>
      </c>
      <c r="AO62" s="4">
        <v>8.9</v>
      </c>
    </row>
    <row r="63" spans="1:41" x14ac:dyDescent="0.2">
      <c r="A63" s="5" t="s">
        <v>66</v>
      </c>
      <c r="B63">
        <v>0.28000000000000003</v>
      </c>
      <c r="C63">
        <v>16</v>
      </c>
      <c r="D63">
        <v>2.4E-2</v>
      </c>
      <c r="E63">
        <v>8.6</v>
      </c>
      <c r="F63">
        <v>-0.81</v>
      </c>
      <c r="G63" s="5"/>
      <c r="P63" s="2"/>
      <c r="S63" s="5" t="s">
        <v>337</v>
      </c>
      <c r="T63" s="2">
        <v>0.7080164351851852</v>
      </c>
      <c r="U63" t="s">
        <v>179</v>
      </c>
      <c r="V63">
        <v>347.79</v>
      </c>
      <c r="W63">
        <v>3.31</v>
      </c>
      <c r="X63">
        <v>10.3</v>
      </c>
      <c r="Y63">
        <v>3</v>
      </c>
      <c r="Z63">
        <v>10</v>
      </c>
      <c r="AA63">
        <v>-2.2000000000000002</v>
      </c>
      <c r="AB63">
        <v>0.6</v>
      </c>
      <c r="AC63" s="8"/>
      <c r="AD63" s="4">
        <v>-101.4</v>
      </c>
      <c r="AE63" s="4">
        <v>1.9</v>
      </c>
      <c r="AF63" s="4">
        <v>-95.6</v>
      </c>
      <c r="AG63" s="4">
        <v>6.6</v>
      </c>
      <c r="AH63" s="4">
        <v>2.6</v>
      </c>
      <c r="AI63" s="4">
        <v>2.5</v>
      </c>
      <c r="AJ63" s="4">
        <v>0.02</v>
      </c>
      <c r="AK63" s="4">
        <v>0.86</v>
      </c>
      <c r="AL63" s="4">
        <v>17.89</v>
      </c>
      <c r="AM63" s="4">
        <v>5.59</v>
      </c>
      <c r="AN63" s="4">
        <v>5.82</v>
      </c>
      <c r="AO63" s="4">
        <v>8.86</v>
      </c>
    </row>
    <row r="64" spans="1:41" x14ac:dyDescent="0.2">
      <c r="A64" s="5"/>
      <c r="G64" s="5"/>
      <c r="P64" s="2"/>
      <c r="S64" s="5" t="s">
        <v>338</v>
      </c>
      <c r="T64" s="2">
        <v>0.70822916666666669</v>
      </c>
      <c r="U64" t="s">
        <v>180</v>
      </c>
      <c r="V64">
        <v>18.88</v>
      </c>
      <c r="W64">
        <v>24.3</v>
      </c>
      <c r="X64">
        <v>45.1</v>
      </c>
      <c r="Y64">
        <v>38.4</v>
      </c>
      <c r="Z64">
        <v>38.9</v>
      </c>
      <c r="AA64">
        <v>13.3</v>
      </c>
      <c r="AB64">
        <v>18.600000000000001</v>
      </c>
      <c r="AC64" s="8"/>
      <c r="AD64" s="4">
        <v>68.900000000000006</v>
      </c>
      <c r="AE64" s="4">
        <v>1.1000000000000001</v>
      </c>
      <c r="AF64" s="4">
        <v>82.9</v>
      </c>
      <c r="AG64" s="4" t="s">
        <v>109</v>
      </c>
      <c r="AH64" s="4" t="s">
        <v>109</v>
      </c>
      <c r="AI64" s="4">
        <v>0.6</v>
      </c>
      <c r="AJ64" s="4">
        <v>1.2</v>
      </c>
      <c r="AK64" s="4">
        <v>1.1000000000000001</v>
      </c>
      <c r="AL64" s="4">
        <v>24.87</v>
      </c>
      <c r="AM64" s="4">
        <v>-0.25</v>
      </c>
      <c r="AN64" s="4">
        <v>9.99</v>
      </c>
      <c r="AO64" s="4">
        <v>9.7200000000000006</v>
      </c>
    </row>
    <row r="65" spans="1:41" x14ac:dyDescent="0.2">
      <c r="A65" s="5"/>
      <c r="G65" s="5"/>
      <c r="P65" s="2"/>
      <c r="S65" s="5" t="s">
        <v>339</v>
      </c>
      <c r="T65" s="2">
        <v>0.70917592592592593</v>
      </c>
      <c r="U65" t="s">
        <v>181</v>
      </c>
      <c r="V65">
        <v>353.57</v>
      </c>
      <c r="W65">
        <v>7.32</v>
      </c>
      <c r="X65">
        <v>6.8</v>
      </c>
      <c r="Y65">
        <v>1.7</v>
      </c>
      <c r="Z65">
        <v>6.7</v>
      </c>
      <c r="AA65">
        <v>-0.8</v>
      </c>
      <c r="AB65">
        <v>0.9</v>
      </c>
      <c r="AC65" s="8"/>
      <c r="AD65" s="4">
        <v>-70.099999999999994</v>
      </c>
      <c r="AE65" s="4">
        <v>1.4</v>
      </c>
      <c r="AF65" s="4">
        <v>-62.3</v>
      </c>
      <c r="AG65" s="4">
        <v>14.3</v>
      </c>
      <c r="AH65" s="4">
        <v>0.4</v>
      </c>
      <c r="AI65" s="4">
        <v>1.71</v>
      </c>
      <c r="AJ65" s="4">
        <v>0.22</v>
      </c>
      <c r="AK65" s="4">
        <v>0.92</v>
      </c>
      <c r="AL65" s="4">
        <v>15.1</v>
      </c>
      <c r="AM65" s="4">
        <v>5.16</v>
      </c>
      <c r="AN65" s="4">
        <v>7.9</v>
      </c>
      <c r="AO65" s="4">
        <v>8.98</v>
      </c>
    </row>
    <row r="66" spans="1:41" x14ac:dyDescent="0.2">
      <c r="A66" s="5"/>
      <c r="G66" s="5"/>
      <c r="P66" s="2"/>
      <c r="S66" s="5" t="s">
        <v>340</v>
      </c>
      <c r="T66" s="2">
        <v>0.71015972222222223</v>
      </c>
      <c r="U66" t="s">
        <v>182</v>
      </c>
      <c r="V66">
        <v>356.87</v>
      </c>
      <c r="W66">
        <v>9.3800000000000008</v>
      </c>
      <c r="X66">
        <v>8.8000000000000007</v>
      </c>
      <c r="Y66">
        <v>1.7</v>
      </c>
      <c r="Z66">
        <v>8.6999999999999993</v>
      </c>
      <c r="AA66">
        <v>-0.5</v>
      </c>
      <c r="AB66">
        <v>1.4</v>
      </c>
      <c r="AC66" s="8"/>
      <c r="AD66" s="4">
        <v>135</v>
      </c>
      <c r="AE66" s="4">
        <v>4.0999999999999996</v>
      </c>
      <c r="AF66" s="4">
        <v>143.80000000000001</v>
      </c>
      <c r="AG66" s="4" t="s">
        <v>109</v>
      </c>
      <c r="AH66" s="4" t="s">
        <v>109</v>
      </c>
      <c r="AI66" s="4">
        <v>1.53</v>
      </c>
      <c r="AJ66" s="4">
        <v>0.43</v>
      </c>
      <c r="AK66" s="4">
        <v>1.32</v>
      </c>
      <c r="AL66" s="4">
        <v>16.77</v>
      </c>
      <c r="AM66" s="4">
        <v>3.98</v>
      </c>
      <c r="AN66" s="4">
        <v>8.52</v>
      </c>
      <c r="AO66" s="4">
        <v>9.3800000000000008</v>
      </c>
    </row>
    <row r="67" spans="1:41" x14ac:dyDescent="0.2">
      <c r="A67" s="5"/>
      <c r="G67" s="5"/>
      <c r="P67" s="2"/>
      <c r="S67" s="5" t="s">
        <v>341</v>
      </c>
      <c r="T67" s="2">
        <v>0.71144108796296301</v>
      </c>
      <c r="U67" t="s">
        <v>183</v>
      </c>
      <c r="V67">
        <v>358.35</v>
      </c>
      <c r="W67">
        <v>9.94</v>
      </c>
      <c r="X67">
        <v>15.3</v>
      </c>
      <c r="Y67">
        <v>7.5</v>
      </c>
      <c r="Z67">
        <v>15</v>
      </c>
      <c r="AA67">
        <v>-0.4</v>
      </c>
      <c r="AB67">
        <v>2.6</v>
      </c>
      <c r="AC67" s="8"/>
      <c r="AD67" s="4">
        <v>27.5</v>
      </c>
      <c r="AE67" s="4">
        <v>1.7</v>
      </c>
      <c r="AF67" s="4">
        <v>36.700000000000003</v>
      </c>
      <c r="AG67" s="4">
        <v>6.3</v>
      </c>
      <c r="AH67" s="4">
        <v>0.9</v>
      </c>
      <c r="AI67" s="4">
        <v>2.5</v>
      </c>
      <c r="AJ67" s="4">
        <v>7.0000000000000007E-2</v>
      </c>
      <c r="AK67" s="4">
        <v>0.66</v>
      </c>
      <c r="AL67" s="4">
        <v>16.350000000000001</v>
      </c>
      <c r="AM67" s="4">
        <v>4.55</v>
      </c>
      <c r="AN67" s="4">
        <v>7.24</v>
      </c>
      <c r="AO67" s="4">
        <v>9.09</v>
      </c>
    </row>
    <row r="68" spans="1:41" x14ac:dyDescent="0.2">
      <c r="A68" s="5"/>
      <c r="G68" s="5"/>
      <c r="P68" s="2"/>
      <c r="S68" s="5" t="s">
        <v>342</v>
      </c>
      <c r="T68" s="2">
        <v>0.71191122685185182</v>
      </c>
      <c r="U68" t="s">
        <v>184</v>
      </c>
      <c r="V68">
        <v>0.13</v>
      </c>
      <c r="W68">
        <v>11.02</v>
      </c>
      <c r="X68">
        <v>9.4</v>
      </c>
      <c r="Y68">
        <v>2.1</v>
      </c>
      <c r="Z68">
        <v>9.1999999999999993</v>
      </c>
      <c r="AA68">
        <v>0</v>
      </c>
      <c r="AB68">
        <v>1.8</v>
      </c>
      <c r="AC68" s="8"/>
      <c r="AD68" s="4">
        <v>-288.7</v>
      </c>
      <c r="AE68" s="4">
        <v>3.5</v>
      </c>
      <c r="AF68" s="4">
        <v>-279.10000000000002</v>
      </c>
      <c r="AG68" s="4" t="s">
        <v>109</v>
      </c>
      <c r="AH68" s="4" t="s">
        <v>109</v>
      </c>
      <c r="AI68" s="4">
        <v>1.38</v>
      </c>
      <c r="AJ68" s="4">
        <v>0.28999999999999998</v>
      </c>
      <c r="AK68" s="4">
        <v>0.74</v>
      </c>
      <c r="AL68" s="4">
        <v>18.32</v>
      </c>
      <c r="AM68" s="4">
        <v>3.78</v>
      </c>
      <c r="AN68" s="4">
        <v>8.06</v>
      </c>
      <c r="AO68" s="4">
        <v>8.75</v>
      </c>
    </row>
    <row r="69" spans="1:41" x14ac:dyDescent="0.2">
      <c r="A69" s="5"/>
      <c r="G69" s="5"/>
      <c r="P69" s="2"/>
      <c r="S69" s="5" t="s">
        <v>343</v>
      </c>
      <c r="T69" s="2">
        <v>0.71539583333333334</v>
      </c>
      <c r="U69" t="s">
        <v>185</v>
      </c>
      <c r="V69">
        <v>357.62</v>
      </c>
      <c r="W69">
        <v>7.83</v>
      </c>
      <c r="X69">
        <v>9.5</v>
      </c>
      <c r="Y69">
        <v>1.9</v>
      </c>
      <c r="Z69">
        <v>9.4</v>
      </c>
      <c r="AA69">
        <v>-0.4</v>
      </c>
      <c r="AB69">
        <v>1.3</v>
      </c>
      <c r="AC69" s="8"/>
      <c r="AD69" s="4">
        <v>-146.19999999999999</v>
      </c>
      <c r="AE69" s="4">
        <v>1.7</v>
      </c>
      <c r="AF69" s="4">
        <v>-137.4</v>
      </c>
      <c r="AG69" s="4">
        <v>7.7</v>
      </c>
      <c r="AH69" s="4">
        <v>1.3</v>
      </c>
      <c r="AI69" s="4">
        <v>2.5</v>
      </c>
      <c r="AJ69" s="4">
        <v>0.05</v>
      </c>
      <c r="AK69" s="4">
        <v>0.89</v>
      </c>
      <c r="AL69" s="4">
        <v>15.72</v>
      </c>
      <c r="AM69" s="4">
        <v>5.31</v>
      </c>
      <c r="AN69" s="4">
        <v>6.38</v>
      </c>
      <c r="AO69" s="4">
        <v>8.94</v>
      </c>
    </row>
    <row r="70" spans="1:41" x14ac:dyDescent="0.2">
      <c r="A70" s="5"/>
      <c r="G70" s="5"/>
      <c r="P70" s="2"/>
      <c r="S70" s="5" t="s">
        <v>344</v>
      </c>
      <c r="T70" s="2">
        <v>0.71842881944444448</v>
      </c>
      <c r="U70" t="s">
        <v>186</v>
      </c>
      <c r="V70">
        <v>355.83</v>
      </c>
      <c r="W70">
        <v>5.38</v>
      </c>
      <c r="X70">
        <v>5.9</v>
      </c>
      <c r="Y70">
        <v>2.2999999999999998</v>
      </c>
      <c r="Z70">
        <v>5.8</v>
      </c>
      <c r="AA70">
        <v>-0.4</v>
      </c>
      <c r="AB70">
        <v>0.6</v>
      </c>
      <c r="AC70" s="8"/>
      <c r="AD70" s="4">
        <v>-107.3</v>
      </c>
      <c r="AE70" s="4">
        <v>3.6</v>
      </c>
      <c r="AF70" s="4">
        <v>-99.3</v>
      </c>
      <c r="AG70" s="4" t="s">
        <v>109</v>
      </c>
      <c r="AH70" s="4" t="s">
        <v>109</v>
      </c>
      <c r="AI70" s="4">
        <v>1.8</v>
      </c>
      <c r="AJ70" s="4">
        <v>0.21</v>
      </c>
      <c r="AK70" s="4">
        <v>1.42</v>
      </c>
      <c r="AL70" s="4">
        <v>17.2</v>
      </c>
      <c r="AM70" s="4">
        <v>4.49</v>
      </c>
      <c r="AN70" s="4">
        <v>7.36</v>
      </c>
      <c r="AO70" s="4">
        <v>8.85</v>
      </c>
    </row>
    <row r="71" spans="1:41" x14ac:dyDescent="0.2">
      <c r="A71" s="5"/>
      <c r="G71" s="5"/>
      <c r="P71" s="2"/>
      <c r="S71" s="5" t="s">
        <v>345</v>
      </c>
      <c r="T71" s="2">
        <v>0.7198761574074074</v>
      </c>
      <c r="U71" t="s">
        <v>187</v>
      </c>
      <c r="V71">
        <v>357.18</v>
      </c>
      <c r="W71">
        <v>5.76</v>
      </c>
      <c r="X71">
        <v>10.4</v>
      </c>
      <c r="Y71">
        <v>2.6</v>
      </c>
      <c r="Z71">
        <v>10.4</v>
      </c>
      <c r="AA71">
        <v>-0.5</v>
      </c>
      <c r="AB71">
        <v>1</v>
      </c>
      <c r="AC71" s="8"/>
      <c r="AD71" s="4">
        <v>71.400000000000006</v>
      </c>
      <c r="AE71" s="4">
        <v>8.9</v>
      </c>
      <c r="AF71" s="4">
        <v>79.900000000000006</v>
      </c>
      <c r="AG71" s="4" t="s">
        <v>109</v>
      </c>
      <c r="AH71" s="4" t="s">
        <v>109</v>
      </c>
      <c r="AI71" s="4">
        <v>1.65</v>
      </c>
      <c r="AJ71" s="4">
        <v>0.17</v>
      </c>
      <c r="AK71" s="4">
        <v>0.65</v>
      </c>
      <c r="AL71" s="4">
        <v>17.440000000000001</v>
      </c>
      <c r="AM71" s="4">
        <v>4.2300000000000004</v>
      </c>
      <c r="AN71" s="4">
        <v>7.71</v>
      </c>
      <c r="AO71" s="4">
        <v>8.89</v>
      </c>
    </row>
    <row r="72" spans="1:41" x14ac:dyDescent="0.2">
      <c r="A72" s="5"/>
      <c r="G72" s="5"/>
      <c r="P72" s="2"/>
      <c r="S72" s="5" t="s">
        <v>346</v>
      </c>
      <c r="T72" s="2">
        <v>0.72022442129629627</v>
      </c>
      <c r="U72" t="s">
        <v>188</v>
      </c>
      <c r="V72">
        <v>68.34</v>
      </c>
      <c r="W72">
        <v>34.86</v>
      </c>
      <c r="X72">
        <v>8.3000000000000007</v>
      </c>
      <c r="Y72">
        <v>9.6</v>
      </c>
      <c r="Z72">
        <v>2.5</v>
      </c>
      <c r="AA72">
        <v>6.3</v>
      </c>
      <c r="AB72">
        <v>4.7</v>
      </c>
      <c r="AC72" s="8"/>
      <c r="AD72" s="4">
        <v>-120</v>
      </c>
      <c r="AE72" s="4">
        <v>0.1</v>
      </c>
      <c r="AF72" s="4">
        <v>-103.5</v>
      </c>
      <c r="AG72" s="4">
        <v>6</v>
      </c>
      <c r="AH72" s="4">
        <v>0.4</v>
      </c>
      <c r="AI72" s="4">
        <v>1.68</v>
      </c>
      <c r="AJ72" s="4">
        <v>0.26</v>
      </c>
      <c r="AK72" s="4">
        <v>1.02</v>
      </c>
      <c r="AL72" s="4">
        <v>15.47</v>
      </c>
      <c r="AM72" s="4">
        <v>4.3</v>
      </c>
      <c r="AN72" s="4">
        <v>7.96</v>
      </c>
      <c r="AO72" s="4">
        <v>9.02</v>
      </c>
    </row>
    <row r="73" spans="1:41" x14ac:dyDescent="0.2">
      <c r="A73" s="5"/>
      <c r="G73" s="5"/>
      <c r="P73" s="2"/>
      <c r="S73" s="5" t="s">
        <v>347</v>
      </c>
      <c r="T73" s="2">
        <v>0.72082418981481478</v>
      </c>
      <c r="U73" t="s">
        <v>189</v>
      </c>
      <c r="V73">
        <v>0.97</v>
      </c>
      <c r="W73">
        <v>8</v>
      </c>
      <c r="X73">
        <v>7.8</v>
      </c>
      <c r="Y73">
        <v>1.1000000000000001</v>
      </c>
      <c r="Z73">
        <v>7.7</v>
      </c>
      <c r="AA73">
        <v>0.1</v>
      </c>
      <c r="AB73">
        <v>1.1000000000000001</v>
      </c>
      <c r="AC73" s="8"/>
      <c r="AD73" s="4">
        <v>29.8</v>
      </c>
      <c r="AE73" s="4">
        <v>1.8</v>
      </c>
      <c r="AF73" s="4">
        <v>39.299999999999997</v>
      </c>
      <c r="AG73" s="4">
        <v>5.9</v>
      </c>
      <c r="AH73" s="4">
        <v>1.3</v>
      </c>
      <c r="AI73" s="4">
        <v>2.5</v>
      </c>
      <c r="AJ73" s="4">
        <v>0.03</v>
      </c>
      <c r="AK73" s="4">
        <v>0.63</v>
      </c>
      <c r="AL73" s="4">
        <v>17.559999999999999</v>
      </c>
      <c r="AM73" s="4">
        <v>5.52</v>
      </c>
      <c r="AN73" s="4">
        <v>5.73</v>
      </c>
      <c r="AO73" s="4">
        <v>8.4499999999999993</v>
      </c>
    </row>
    <row r="74" spans="1:41" x14ac:dyDescent="0.2">
      <c r="A74" s="5"/>
      <c r="G74" s="5"/>
      <c r="P74" s="2"/>
      <c r="S74" s="5" t="s">
        <v>348</v>
      </c>
      <c r="T74" s="2">
        <v>0.72165810185185186</v>
      </c>
      <c r="U74" t="s">
        <v>190</v>
      </c>
      <c r="V74">
        <v>5.54</v>
      </c>
      <c r="W74">
        <v>10.71</v>
      </c>
      <c r="X74">
        <v>7.9</v>
      </c>
      <c r="Y74">
        <v>1.7</v>
      </c>
      <c r="Z74">
        <v>7.7</v>
      </c>
      <c r="AA74">
        <v>0.7</v>
      </c>
      <c r="AB74">
        <v>1.5</v>
      </c>
      <c r="AC74" s="8"/>
      <c r="AD74" s="4">
        <v>229.1</v>
      </c>
      <c r="AE74" s="4">
        <v>7</v>
      </c>
      <c r="AF74" s="4">
        <v>239.8</v>
      </c>
      <c r="AG74" s="4" t="s">
        <v>109</v>
      </c>
      <c r="AH74" s="4" t="s">
        <v>109</v>
      </c>
      <c r="AI74" s="4">
        <v>1.25</v>
      </c>
      <c r="AJ74" s="4">
        <v>0.45</v>
      </c>
      <c r="AK74" s="4">
        <v>0.96</v>
      </c>
      <c r="AL74" s="4">
        <v>17.39</v>
      </c>
      <c r="AM74" s="4">
        <v>3.78</v>
      </c>
      <c r="AN74" s="4">
        <v>8.36</v>
      </c>
      <c r="AO74" s="4">
        <v>8.9</v>
      </c>
    </row>
    <row r="75" spans="1:41" x14ac:dyDescent="0.2">
      <c r="A75" s="5"/>
      <c r="G75" s="5"/>
      <c r="P75" s="2"/>
      <c r="S75" s="5" t="s">
        <v>349</v>
      </c>
      <c r="T75" s="2">
        <v>0.72303333333333331</v>
      </c>
      <c r="U75" t="s">
        <v>191</v>
      </c>
      <c r="V75">
        <v>4.9000000000000004</v>
      </c>
      <c r="W75">
        <v>9.7200000000000006</v>
      </c>
      <c r="X75">
        <v>8.5</v>
      </c>
      <c r="Y75">
        <v>1.7</v>
      </c>
      <c r="Z75">
        <v>8.4</v>
      </c>
      <c r="AA75">
        <v>0.7</v>
      </c>
      <c r="AB75">
        <v>1.4</v>
      </c>
      <c r="AC75" s="8"/>
      <c r="AD75" s="4">
        <v>115.7</v>
      </c>
      <c r="AE75" s="4">
        <v>1.4</v>
      </c>
      <c r="AF75" s="4">
        <v>126.3</v>
      </c>
      <c r="AG75" s="4">
        <v>5.2</v>
      </c>
      <c r="AH75" s="4">
        <v>2.1</v>
      </c>
      <c r="AI75" s="4">
        <v>2.5</v>
      </c>
      <c r="AJ75" s="4">
        <v>0.05</v>
      </c>
      <c r="AK75" s="4">
        <v>0.73</v>
      </c>
      <c r="AL75" s="4">
        <v>16.97</v>
      </c>
      <c r="AM75" s="4">
        <v>4.97</v>
      </c>
      <c r="AN75" s="4">
        <v>6.16</v>
      </c>
      <c r="AO75" s="4">
        <v>8.51</v>
      </c>
    </row>
    <row r="76" spans="1:41" x14ac:dyDescent="0.2">
      <c r="A76" s="5"/>
      <c r="G76" s="5"/>
      <c r="P76" s="2"/>
      <c r="S76" s="5" t="s">
        <v>350</v>
      </c>
      <c r="T76" s="2">
        <v>0.72470983796296295</v>
      </c>
      <c r="U76" t="s">
        <v>192</v>
      </c>
      <c r="V76">
        <v>6.72</v>
      </c>
      <c r="W76">
        <v>10.220000000000001</v>
      </c>
      <c r="X76">
        <v>15.1</v>
      </c>
      <c r="Y76">
        <v>7.5</v>
      </c>
      <c r="Z76">
        <v>14.7</v>
      </c>
      <c r="AA76">
        <v>1.7</v>
      </c>
      <c r="AB76">
        <v>2.7</v>
      </c>
      <c r="AC76" s="8"/>
      <c r="AD76" s="4">
        <v>27</v>
      </c>
      <c r="AE76" s="4">
        <v>4.3</v>
      </c>
      <c r="AF76" s="4">
        <v>38</v>
      </c>
      <c r="AG76" s="4" t="s">
        <v>109</v>
      </c>
      <c r="AH76" s="4" t="s">
        <v>109</v>
      </c>
      <c r="AI76" s="4">
        <v>1.59</v>
      </c>
      <c r="AJ76" s="4">
        <v>0.24</v>
      </c>
      <c r="AK76" s="4">
        <v>0.81</v>
      </c>
      <c r="AL76" s="4">
        <v>17.02</v>
      </c>
      <c r="AM76" s="4">
        <v>3.78</v>
      </c>
      <c r="AN76" s="4">
        <v>8.3699999999999992</v>
      </c>
      <c r="AO76" s="4">
        <v>9.3000000000000007</v>
      </c>
    </row>
    <row r="77" spans="1:41" x14ac:dyDescent="0.2">
      <c r="A77" s="5"/>
      <c r="G77" s="5"/>
      <c r="P77" s="2"/>
      <c r="S77" s="5" t="s">
        <v>351</v>
      </c>
      <c r="T77" s="2">
        <v>0.72498368055555551</v>
      </c>
      <c r="U77" t="s">
        <v>193</v>
      </c>
      <c r="V77">
        <v>359.59</v>
      </c>
      <c r="W77">
        <v>5.43</v>
      </c>
      <c r="X77">
        <v>9.1999999999999993</v>
      </c>
      <c r="Y77">
        <v>1.4</v>
      </c>
      <c r="Z77">
        <v>9.1999999999999993</v>
      </c>
      <c r="AA77">
        <v>-0.1</v>
      </c>
      <c r="AB77">
        <v>0.9</v>
      </c>
      <c r="AC77" s="8"/>
      <c r="AD77" s="4">
        <v>-176.9</v>
      </c>
      <c r="AE77" s="4">
        <v>7.1</v>
      </c>
      <c r="AF77" s="4">
        <v>-167.9</v>
      </c>
      <c r="AG77" s="4" t="s">
        <v>109</v>
      </c>
      <c r="AH77" s="4" t="s">
        <v>109</v>
      </c>
      <c r="AI77" s="4">
        <v>2.5</v>
      </c>
      <c r="AJ77" s="4">
        <v>0.05</v>
      </c>
      <c r="AK77" s="4">
        <v>0.88</v>
      </c>
      <c r="AL77" s="4">
        <v>17.64</v>
      </c>
      <c r="AM77" s="4">
        <v>5.04</v>
      </c>
      <c r="AN77" s="4">
        <v>6.27</v>
      </c>
      <c r="AO77" s="4">
        <v>8.9600000000000009</v>
      </c>
    </row>
    <row r="78" spans="1:41" x14ac:dyDescent="0.2">
      <c r="A78" s="5"/>
      <c r="G78" s="5"/>
      <c r="P78" s="2"/>
      <c r="S78" s="5" t="s">
        <v>352</v>
      </c>
      <c r="T78" s="2">
        <v>0.72603136574074079</v>
      </c>
      <c r="U78" t="s">
        <v>194</v>
      </c>
      <c r="V78">
        <v>341.42</v>
      </c>
      <c r="W78">
        <v>-7.17</v>
      </c>
      <c r="X78">
        <v>5.6</v>
      </c>
      <c r="Y78">
        <v>3.3</v>
      </c>
      <c r="Z78">
        <v>5.3</v>
      </c>
      <c r="AA78">
        <v>-1.8</v>
      </c>
      <c r="AB78">
        <v>-0.7</v>
      </c>
      <c r="AC78" s="8"/>
      <c r="AD78" s="4">
        <v>-137</v>
      </c>
      <c r="AE78" s="4">
        <v>1.1000000000000001</v>
      </c>
      <c r="AF78" s="4">
        <v>-134.1</v>
      </c>
      <c r="AG78" s="4" t="s">
        <v>109</v>
      </c>
      <c r="AH78" s="4" t="s">
        <v>109</v>
      </c>
      <c r="AI78" s="4">
        <v>1.1000000000000001</v>
      </c>
      <c r="AJ78" s="4">
        <v>0.83</v>
      </c>
      <c r="AK78" s="4">
        <v>2.0499999999999998</v>
      </c>
      <c r="AL78" s="4">
        <v>18.170000000000002</v>
      </c>
      <c r="AM78" s="4">
        <v>3.17</v>
      </c>
      <c r="AN78" s="4">
        <v>8.4600000000000009</v>
      </c>
      <c r="AO78" s="4">
        <v>8.92</v>
      </c>
    </row>
    <row r="79" spans="1:41" x14ac:dyDescent="0.2">
      <c r="A79" s="5"/>
      <c r="G79" s="5"/>
      <c r="P79" s="2"/>
      <c r="S79" s="5" t="s">
        <v>353</v>
      </c>
      <c r="T79" s="2">
        <v>0.72718171296296297</v>
      </c>
      <c r="U79" t="s">
        <v>195</v>
      </c>
      <c r="V79">
        <v>16.54</v>
      </c>
      <c r="W79">
        <v>15.15</v>
      </c>
      <c r="X79">
        <v>25</v>
      </c>
      <c r="Y79">
        <v>17.899999999999999</v>
      </c>
      <c r="Z79">
        <v>23.2</v>
      </c>
      <c r="AA79">
        <v>6.9</v>
      </c>
      <c r="AB79">
        <v>6.5</v>
      </c>
      <c r="AC79" s="8"/>
      <c r="AD79" s="4">
        <v>-140.19999999999999</v>
      </c>
      <c r="AE79" s="4">
        <v>2.1</v>
      </c>
      <c r="AF79" s="4">
        <v>-127</v>
      </c>
      <c r="AG79" s="4" t="s">
        <v>109</v>
      </c>
      <c r="AH79" s="4" t="s">
        <v>109</v>
      </c>
      <c r="AI79" s="4">
        <v>1.55</v>
      </c>
      <c r="AJ79" s="4">
        <v>0.25</v>
      </c>
      <c r="AK79" s="4">
        <v>1.4</v>
      </c>
      <c r="AL79" s="4" t="s">
        <v>109</v>
      </c>
      <c r="AM79" s="4" t="s">
        <v>109</v>
      </c>
      <c r="AN79" s="4" t="s">
        <v>109</v>
      </c>
      <c r="AO79" s="4">
        <v>9.6</v>
      </c>
    </row>
    <row r="80" spans="1:41" x14ac:dyDescent="0.2">
      <c r="A80" s="5"/>
      <c r="G80" s="5"/>
      <c r="P80" s="2"/>
      <c r="S80" s="5" t="s">
        <v>354</v>
      </c>
      <c r="T80" s="2">
        <v>0.72746643518518517</v>
      </c>
      <c r="U80" t="s">
        <v>196</v>
      </c>
      <c r="V80">
        <v>356.32</v>
      </c>
      <c r="W80">
        <v>2.2999999999999998</v>
      </c>
      <c r="X80">
        <v>7.5</v>
      </c>
      <c r="Y80">
        <v>0.8</v>
      </c>
      <c r="Z80">
        <v>7.5</v>
      </c>
      <c r="AA80">
        <v>-0.5</v>
      </c>
      <c r="AB80">
        <v>0.3</v>
      </c>
      <c r="AC80" s="8"/>
      <c r="AD80" s="4">
        <v>109</v>
      </c>
      <c r="AE80" s="4">
        <v>15</v>
      </c>
      <c r="AF80" s="4">
        <v>116.9</v>
      </c>
      <c r="AG80" s="4" t="s">
        <v>109</v>
      </c>
      <c r="AH80" s="4" t="s">
        <v>109</v>
      </c>
      <c r="AI80" s="4">
        <v>2.5</v>
      </c>
      <c r="AJ80" s="4">
        <v>0.03</v>
      </c>
      <c r="AK80" s="4">
        <v>1.52</v>
      </c>
      <c r="AL80" s="4">
        <v>22.16</v>
      </c>
      <c r="AM80" s="4">
        <v>4.8600000000000003</v>
      </c>
      <c r="AN80" s="4">
        <v>5.46</v>
      </c>
      <c r="AO80" s="4">
        <v>8.82</v>
      </c>
    </row>
    <row r="81" spans="1:41" x14ac:dyDescent="0.2">
      <c r="A81" s="5"/>
      <c r="G81" s="5"/>
      <c r="P81" s="2"/>
      <c r="S81" s="5" t="s">
        <v>355</v>
      </c>
      <c r="T81" s="2">
        <v>0.72759537037037036</v>
      </c>
      <c r="U81" t="s">
        <v>197</v>
      </c>
      <c r="V81">
        <v>18.41</v>
      </c>
      <c r="W81">
        <v>16.04</v>
      </c>
      <c r="X81">
        <v>3.5</v>
      </c>
      <c r="Y81">
        <v>5</v>
      </c>
      <c r="Z81">
        <v>3.2</v>
      </c>
      <c r="AA81">
        <v>1.1000000000000001</v>
      </c>
      <c r="AB81">
        <v>1</v>
      </c>
      <c r="AC81" s="8"/>
      <c r="AD81" s="4">
        <v>-122.2</v>
      </c>
      <c r="AE81" s="4">
        <v>0.5</v>
      </c>
      <c r="AF81" s="4">
        <v>-108.6</v>
      </c>
      <c r="AG81" s="4">
        <v>1.3</v>
      </c>
      <c r="AH81" s="4">
        <v>0.5</v>
      </c>
      <c r="AI81" s="4">
        <v>0.74</v>
      </c>
      <c r="AJ81" s="4">
        <v>2.17</v>
      </c>
      <c r="AK81" s="4">
        <v>2.92</v>
      </c>
      <c r="AL81" s="4">
        <v>21.25</v>
      </c>
      <c r="AM81" s="4">
        <v>2.39</v>
      </c>
      <c r="AN81" s="4">
        <v>8.74</v>
      </c>
      <c r="AO81" s="4">
        <v>8.73</v>
      </c>
    </row>
    <row r="82" spans="1:41" x14ac:dyDescent="0.2">
      <c r="A82" s="5"/>
      <c r="G82" s="5"/>
      <c r="P82" s="2"/>
      <c r="S82" s="5" t="s">
        <v>356</v>
      </c>
      <c r="T82" s="2">
        <v>0.72961805555555559</v>
      </c>
      <c r="U82" t="s">
        <v>198</v>
      </c>
      <c r="V82">
        <v>356.02</v>
      </c>
      <c r="W82">
        <v>1.31</v>
      </c>
      <c r="X82">
        <v>7.2</v>
      </c>
      <c r="Y82">
        <v>1</v>
      </c>
      <c r="Z82">
        <v>7.2</v>
      </c>
      <c r="AA82">
        <v>-0.5</v>
      </c>
      <c r="AB82">
        <v>0.2</v>
      </c>
      <c r="AC82" s="8"/>
      <c r="AD82" s="4">
        <v>-50</v>
      </c>
      <c r="AE82" s="4">
        <v>2.9</v>
      </c>
      <c r="AF82" s="4">
        <v>-42.3</v>
      </c>
      <c r="AG82" s="4" t="s">
        <v>109</v>
      </c>
      <c r="AH82" s="4" t="s">
        <v>109</v>
      </c>
      <c r="AI82" s="4">
        <v>0.9</v>
      </c>
      <c r="AJ82" s="4">
        <v>0.9</v>
      </c>
      <c r="AK82" s="4">
        <v>1.85</v>
      </c>
      <c r="AL82" s="4" t="s">
        <v>109</v>
      </c>
      <c r="AM82" s="4" t="s">
        <v>109</v>
      </c>
      <c r="AN82" s="4" t="s">
        <v>109</v>
      </c>
      <c r="AO82" s="4">
        <v>8.6999999999999993</v>
      </c>
    </row>
    <row r="83" spans="1:41" x14ac:dyDescent="0.2">
      <c r="A83" s="5"/>
      <c r="G83" s="5"/>
      <c r="P83" s="2"/>
      <c r="S83" s="5" t="s">
        <v>357</v>
      </c>
      <c r="T83" s="2">
        <v>0.72992129629629632</v>
      </c>
      <c r="U83" t="s">
        <v>199</v>
      </c>
      <c r="V83">
        <v>357.44</v>
      </c>
      <c r="W83">
        <v>2.12</v>
      </c>
      <c r="X83">
        <v>8.1999999999999993</v>
      </c>
      <c r="Y83">
        <v>0.5</v>
      </c>
      <c r="Z83">
        <v>8.1999999999999993</v>
      </c>
      <c r="AA83">
        <v>-0.4</v>
      </c>
      <c r="AB83">
        <v>0.3</v>
      </c>
      <c r="AC83" s="8"/>
      <c r="AD83" s="4">
        <v>45.8</v>
      </c>
      <c r="AE83" s="4">
        <v>0.7</v>
      </c>
      <c r="AF83" s="4">
        <v>54</v>
      </c>
      <c r="AG83" s="4" t="s">
        <v>109</v>
      </c>
      <c r="AH83" s="4" t="s">
        <v>109</v>
      </c>
      <c r="AI83" s="4">
        <v>2.5</v>
      </c>
      <c r="AJ83" s="4">
        <v>0.03</v>
      </c>
      <c r="AK83" s="4">
        <v>3.1</v>
      </c>
      <c r="AL83" s="4">
        <v>21.29</v>
      </c>
      <c r="AM83" s="4">
        <v>4.33</v>
      </c>
      <c r="AN83" s="4">
        <v>5.03</v>
      </c>
      <c r="AO83" s="4">
        <v>9.44</v>
      </c>
    </row>
    <row r="84" spans="1:41" x14ac:dyDescent="0.2">
      <c r="A84" s="5"/>
      <c r="G84" s="5"/>
      <c r="P84" s="2"/>
      <c r="S84" s="5" t="s">
        <v>358</v>
      </c>
      <c r="T84" s="2">
        <v>0.73049756944444444</v>
      </c>
      <c r="U84" t="s">
        <v>200</v>
      </c>
      <c r="V84">
        <v>325.55</v>
      </c>
      <c r="W84">
        <v>-17.57</v>
      </c>
      <c r="X84">
        <v>7.6</v>
      </c>
      <c r="Y84">
        <v>5.0999999999999996</v>
      </c>
      <c r="Z84">
        <v>6</v>
      </c>
      <c r="AA84">
        <v>-4.0999999999999996</v>
      </c>
      <c r="AB84">
        <v>-2.2999999999999998</v>
      </c>
      <c r="AC84" s="8"/>
      <c r="AD84" s="4">
        <v>-13.1</v>
      </c>
      <c r="AE84" s="4">
        <v>0.6</v>
      </c>
      <c r="AF84" s="4">
        <v>-15.6</v>
      </c>
      <c r="AG84" s="4">
        <v>2.8</v>
      </c>
      <c r="AH84" s="4">
        <v>0.4</v>
      </c>
      <c r="AI84" s="4">
        <v>1.0900000000000001</v>
      </c>
      <c r="AJ84" s="4">
        <v>1.1299999999999999</v>
      </c>
      <c r="AK84" s="4">
        <v>2.0499999999999998</v>
      </c>
      <c r="AL84" s="4">
        <v>19.309999999999999</v>
      </c>
      <c r="AM84" s="4">
        <v>2.29</v>
      </c>
      <c r="AN84" s="4">
        <v>8.8000000000000007</v>
      </c>
      <c r="AO84" s="4">
        <v>9.1999999999999993</v>
      </c>
    </row>
    <row r="85" spans="1:41" x14ac:dyDescent="0.2">
      <c r="A85" s="5"/>
      <c r="G85" s="5"/>
      <c r="P85" s="2"/>
      <c r="S85" s="5" t="s">
        <v>359</v>
      </c>
      <c r="T85" s="2">
        <v>0.7315335648148148</v>
      </c>
      <c r="U85" t="s">
        <v>201</v>
      </c>
      <c r="V85">
        <v>354.84</v>
      </c>
      <c r="W85">
        <v>-0.16</v>
      </c>
      <c r="X85">
        <v>8.1999999999999993</v>
      </c>
      <c r="Y85">
        <v>0.8</v>
      </c>
      <c r="Z85">
        <v>8.1999999999999993</v>
      </c>
      <c r="AA85">
        <v>-0.7</v>
      </c>
      <c r="AB85">
        <v>0</v>
      </c>
      <c r="AC85" s="8"/>
      <c r="AD85" s="4">
        <v>52</v>
      </c>
      <c r="AE85" s="4">
        <v>15</v>
      </c>
      <c r="AF85" s="4">
        <v>59.2</v>
      </c>
      <c r="AG85" s="4" t="s">
        <v>109</v>
      </c>
      <c r="AH85" s="4" t="s">
        <v>109</v>
      </c>
      <c r="AI85" s="4">
        <v>2.2999999999999998</v>
      </c>
      <c r="AJ85" s="4">
        <v>0.06</v>
      </c>
      <c r="AK85" s="4" t="s">
        <v>109</v>
      </c>
      <c r="AL85" s="4">
        <v>24</v>
      </c>
      <c r="AM85" s="4">
        <v>5.28</v>
      </c>
      <c r="AN85" s="4">
        <v>6.62</v>
      </c>
      <c r="AO85" s="4">
        <v>0</v>
      </c>
    </row>
    <row r="86" spans="1:41" x14ac:dyDescent="0.2">
      <c r="A86" s="5"/>
      <c r="G86" s="5"/>
      <c r="P86" s="2"/>
      <c r="S86" s="5" t="s">
        <v>360</v>
      </c>
      <c r="T86" s="2">
        <v>0.73226851851851849</v>
      </c>
      <c r="U86" t="s">
        <v>202</v>
      </c>
      <c r="V86">
        <v>350.18</v>
      </c>
      <c r="W86">
        <v>-3.42</v>
      </c>
      <c r="X86">
        <v>10.9</v>
      </c>
      <c r="Y86">
        <v>3.3</v>
      </c>
      <c r="Z86">
        <v>10.7</v>
      </c>
      <c r="AA86">
        <v>-1.9</v>
      </c>
      <c r="AB86">
        <v>-0.6</v>
      </c>
      <c r="AC86" s="8"/>
      <c r="AD86" s="4">
        <v>-3.6</v>
      </c>
      <c r="AE86" s="4">
        <v>2.5</v>
      </c>
      <c r="AF86" s="4">
        <v>2.1</v>
      </c>
      <c r="AG86" s="4" t="s">
        <v>109</v>
      </c>
      <c r="AH86" s="4" t="s">
        <v>109</v>
      </c>
      <c r="AI86" s="4">
        <v>1.55</v>
      </c>
      <c r="AJ86" s="4">
        <v>0.34</v>
      </c>
      <c r="AK86" s="4">
        <v>0.74</v>
      </c>
      <c r="AL86" s="4">
        <v>19.89</v>
      </c>
      <c r="AM86" s="4">
        <v>3.73</v>
      </c>
      <c r="AN86" s="4">
        <v>8.4</v>
      </c>
      <c r="AO86" s="4">
        <v>8.86</v>
      </c>
    </row>
    <row r="87" spans="1:41" x14ac:dyDescent="0.2">
      <c r="A87" s="5"/>
      <c r="G87" s="5"/>
      <c r="P87" s="2"/>
      <c r="S87" s="5" t="s">
        <v>361</v>
      </c>
      <c r="T87" s="2">
        <v>0.73319212962962965</v>
      </c>
      <c r="U87" t="s">
        <v>203</v>
      </c>
      <c r="V87">
        <v>357.57</v>
      </c>
      <c r="W87">
        <v>1</v>
      </c>
      <c r="X87">
        <v>6.7</v>
      </c>
      <c r="Y87">
        <v>1.3</v>
      </c>
      <c r="Z87">
        <v>6.7</v>
      </c>
      <c r="AA87">
        <v>-0.3</v>
      </c>
      <c r="AB87">
        <v>0.1</v>
      </c>
      <c r="AC87" s="8"/>
      <c r="AD87" s="4">
        <v>114</v>
      </c>
      <c r="AE87" s="4">
        <v>14</v>
      </c>
      <c r="AF87" s="4">
        <v>122</v>
      </c>
      <c r="AG87" s="4" t="s">
        <v>109</v>
      </c>
      <c r="AH87" s="4" t="s">
        <v>109</v>
      </c>
      <c r="AI87" s="4">
        <v>2.5</v>
      </c>
      <c r="AJ87" s="4">
        <v>0.04</v>
      </c>
      <c r="AK87" s="4">
        <v>3.82</v>
      </c>
      <c r="AL87" s="4">
        <v>25.09</v>
      </c>
      <c r="AM87" s="4">
        <v>3.85</v>
      </c>
      <c r="AN87" s="4">
        <v>4.99</v>
      </c>
      <c r="AO87" s="4">
        <v>9.1199999999999992</v>
      </c>
    </row>
    <row r="88" spans="1:41" x14ac:dyDescent="0.2">
      <c r="A88" s="5"/>
      <c r="G88" s="5"/>
      <c r="P88" s="2"/>
      <c r="S88" s="5" t="s">
        <v>362</v>
      </c>
      <c r="T88" s="2">
        <v>0.73345486111111113</v>
      </c>
      <c r="U88" t="s">
        <v>204</v>
      </c>
      <c r="V88">
        <v>350.8</v>
      </c>
      <c r="W88">
        <v>-3.42</v>
      </c>
      <c r="X88">
        <v>8.1999999999999993</v>
      </c>
      <c r="Y88">
        <v>1.4</v>
      </c>
      <c r="Z88">
        <v>8.1</v>
      </c>
      <c r="AA88">
        <v>-1.3</v>
      </c>
      <c r="AB88">
        <v>-0.5</v>
      </c>
      <c r="AC88" s="8"/>
      <c r="AD88" s="4">
        <v>-184.4</v>
      </c>
      <c r="AE88" s="4">
        <v>2.2000000000000002</v>
      </c>
      <c r="AF88" s="4">
        <v>-178.6</v>
      </c>
      <c r="AG88" s="4" t="s">
        <v>109</v>
      </c>
      <c r="AH88" s="4" t="s">
        <v>109</v>
      </c>
      <c r="AI88" s="4">
        <v>1.3</v>
      </c>
      <c r="AJ88" s="4">
        <v>0.54</v>
      </c>
      <c r="AK88" s="4">
        <v>1.3</v>
      </c>
      <c r="AL88" s="4">
        <v>22.16</v>
      </c>
      <c r="AM88" s="4">
        <v>2.85</v>
      </c>
      <c r="AN88" s="4">
        <v>8.23</v>
      </c>
      <c r="AO88" s="4">
        <v>8.82</v>
      </c>
    </row>
    <row r="89" spans="1:41" x14ac:dyDescent="0.2">
      <c r="A89" s="5"/>
      <c r="G89" s="5"/>
      <c r="P89" s="2"/>
      <c r="S89" s="5" t="s">
        <v>363</v>
      </c>
      <c r="T89" s="2">
        <v>0.73353275462962964</v>
      </c>
      <c r="U89" t="s">
        <v>205</v>
      </c>
      <c r="V89">
        <v>345.56</v>
      </c>
      <c r="W89">
        <v>-6.74</v>
      </c>
      <c r="X89">
        <v>9.9</v>
      </c>
      <c r="Y89">
        <v>3.1</v>
      </c>
      <c r="Z89">
        <v>9.6</v>
      </c>
      <c r="AA89">
        <v>-2.5</v>
      </c>
      <c r="AB89">
        <v>-1.2</v>
      </c>
      <c r="AC89" s="8"/>
      <c r="AD89" s="4">
        <v>80.099999999999994</v>
      </c>
      <c r="AE89" s="4">
        <v>0.8</v>
      </c>
      <c r="AF89" s="4">
        <v>84.2</v>
      </c>
      <c r="AG89" s="4">
        <v>18.899999999999999</v>
      </c>
      <c r="AH89" s="4">
        <v>0.8</v>
      </c>
      <c r="AI89" s="4">
        <v>1.75</v>
      </c>
      <c r="AJ89" s="4">
        <v>0.12</v>
      </c>
      <c r="AK89" s="4">
        <v>0.52</v>
      </c>
      <c r="AL89" s="4">
        <v>14.49</v>
      </c>
      <c r="AM89" s="4">
        <v>5.37</v>
      </c>
      <c r="AN89" s="4">
        <v>7.72</v>
      </c>
      <c r="AO89" s="4">
        <v>8.9</v>
      </c>
    </row>
    <row r="90" spans="1:41" x14ac:dyDescent="0.2">
      <c r="A90" s="5"/>
      <c r="G90" s="5"/>
      <c r="P90" s="2"/>
      <c r="S90" s="5" t="s">
        <v>364</v>
      </c>
      <c r="T90" s="2">
        <v>0.73444560185185181</v>
      </c>
      <c r="U90" t="s">
        <v>206</v>
      </c>
      <c r="V90">
        <v>21.32</v>
      </c>
      <c r="W90">
        <v>14.81</v>
      </c>
      <c r="X90">
        <v>9.3000000000000007</v>
      </c>
      <c r="Y90">
        <v>4</v>
      </c>
      <c r="Z90">
        <v>8.3000000000000007</v>
      </c>
      <c r="AA90">
        <v>3.3</v>
      </c>
      <c r="AB90">
        <v>2.4</v>
      </c>
      <c r="AC90" s="8"/>
      <c r="AD90" s="4">
        <v>-66.099999999999994</v>
      </c>
      <c r="AE90" s="4">
        <v>1.8</v>
      </c>
      <c r="AF90" s="4">
        <v>-52.1</v>
      </c>
      <c r="AG90" s="4" t="s">
        <v>109</v>
      </c>
      <c r="AH90" s="4" t="s">
        <v>109</v>
      </c>
      <c r="AI90" s="4">
        <v>0.99</v>
      </c>
      <c r="AJ90" s="4">
        <v>0.79</v>
      </c>
      <c r="AK90" s="4">
        <v>1.3</v>
      </c>
      <c r="AL90" s="4">
        <v>18.41</v>
      </c>
      <c r="AM90" s="4">
        <v>3.36</v>
      </c>
      <c r="AN90" s="4">
        <v>9.06</v>
      </c>
      <c r="AO90" s="4">
        <v>9.39</v>
      </c>
    </row>
    <row r="91" spans="1:41" x14ac:dyDescent="0.2">
      <c r="A91" s="5"/>
      <c r="G91" s="5"/>
      <c r="P91" s="2"/>
      <c r="S91" s="5" t="s">
        <v>365</v>
      </c>
      <c r="T91" s="2">
        <v>0.73514583333333328</v>
      </c>
      <c r="U91" t="s">
        <v>207</v>
      </c>
      <c r="V91">
        <v>3.45</v>
      </c>
      <c r="W91">
        <v>3.98</v>
      </c>
      <c r="X91">
        <v>10.6</v>
      </c>
      <c r="Y91">
        <v>2.7</v>
      </c>
      <c r="Z91">
        <v>10.5</v>
      </c>
      <c r="AA91">
        <v>0.6</v>
      </c>
      <c r="AB91">
        <v>0.7</v>
      </c>
      <c r="AC91" s="8"/>
      <c r="AD91" s="4">
        <v>-65</v>
      </c>
      <c r="AE91" s="4">
        <v>8.6</v>
      </c>
      <c r="AF91" s="4">
        <v>-55.3</v>
      </c>
      <c r="AG91" s="4" t="s">
        <v>109</v>
      </c>
      <c r="AH91" s="4" t="s">
        <v>109</v>
      </c>
      <c r="AI91" s="4">
        <v>1.69</v>
      </c>
      <c r="AJ91" s="4">
        <v>0.25</v>
      </c>
      <c r="AK91" s="4">
        <v>1.91</v>
      </c>
      <c r="AL91" s="4">
        <v>18.7</v>
      </c>
      <c r="AM91" s="4">
        <v>3.79</v>
      </c>
      <c r="AN91" s="4">
        <v>7.97</v>
      </c>
      <c r="AO91" s="4">
        <v>9.5299999999999994</v>
      </c>
    </row>
    <row r="92" spans="1:41" x14ac:dyDescent="0.2">
      <c r="A92" s="5"/>
      <c r="G92" s="5"/>
      <c r="P92" s="2"/>
      <c r="S92" s="5" t="s">
        <v>366</v>
      </c>
      <c r="T92" s="2">
        <v>0.73659826388888883</v>
      </c>
      <c r="U92" t="s">
        <v>208</v>
      </c>
      <c r="V92">
        <v>338.17</v>
      </c>
      <c r="W92">
        <v>-11.96</v>
      </c>
      <c r="X92">
        <v>2.2999999999999998</v>
      </c>
      <c r="Y92">
        <v>6</v>
      </c>
      <c r="Z92">
        <v>2.1</v>
      </c>
      <c r="AA92">
        <v>-0.8</v>
      </c>
      <c r="AB92">
        <v>-0.5</v>
      </c>
      <c r="AC92" s="8"/>
      <c r="AD92" s="4">
        <v>18.8</v>
      </c>
      <c r="AE92" s="4">
        <v>0.1</v>
      </c>
      <c r="AF92" s="4">
        <v>20.3</v>
      </c>
      <c r="AG92" s="4">
        <v>4.5</v>
      </c>
      <c r="AH92" s="4">
        <v>0.2</v>
      </c>
      <c r="AI92" s="4">
        <v>2.5</v>
      </c>
      <c r="AJ92" s="4">
        <v>0.05</v>
      </c>
      <c r="AK92" s="4">
        <v>2.9</v>
      </c>
      <c r="AL92" s="4">
        <v>15.47</v>
      </c>
      <c r="AM92" s="4">
        <v>5.76</v>
      </c>
      <c r="AN92" s="4">
        <v>4.9400000000000004</v>
      </c>
      <c r="AO92" s="4">
        <v>8.6</v>
      </c>
    </row>
    <row r="93" spans="1:41" x14ac:dyDescent="0.2">
      <c r="A93" s="5"/>
      <c r="G93" s="5"/>
      <c r="P93" s="2"/>
      <c r="S93" s="5" t="s">
        <v>367</v>
      </c>
      <c r="T93" s="2">
        <v>0.73868287037037028</v>
      </c>
      <c r="U93" t="s">
        <v>209</v>
      </c>
      <c r="V93">
        <v>2.1</v>
      </c>
      <c r="W93">
        <v>1.78</v>
      </c>
      <c r="X93">
        <v>5.8</v>
      </c>
      <c r="Y93">
        <v>2.2000000000000002</v>
      </c>
      <c r="Z93">
        <v>5.8</v>
      </c>
      <c r="AA93">
        <v>0.2</v>
      </c>
      <c r="AB93">
        <v>0.2</v>
      </c>
      <c r="AC93" s="8"/>
      <c r="AD93" s="4">
        <v>181</v>
      </c>
      <c r="AE93" s="4">
        <v>2.8</v>
      </c>
      <c r="AF93" s="4">
        <v>190.2</v>
      </c>
      <c r="AG93" s="4" t="s">
        <v>109</v>
      </c>
      <c r="AH93" s="4" t="s">
        <v>109</v>
      </c>
      <c r="AI93" s="4">
        <v>1.1000000000000001</v>
      </c>
      <c r="AJ93" s="4">
        <v>0.66</v>
      </c>
      <c r="AK93" s="4">
        <v>1.2</v>
      </c>
      <c r="AL93" s="4">
        <v>21.51</v>
      </c>
      <c r="AM93" s="4">
        <v>3.46</v>
      </c>
      <c r="AN93" s="4">
        <v>8.34</v>
      </c>
      <c r="AO93" s="4">
        <v>8.64</v>
      </c>
    </row>
    <row r="94" spans="1:41" x14ac:dyDescent="0.2">
      <c r="A94" s="5"/>
      <c r="G94" s="5"/>
      <c r="P94" s="2"/>
      <c r="S94" s="5" t="s">
        <v>368</v>
      </c>
      <c r="T94" s="2">
        <v>0.73952141203703703</v>
      </c>
      <c r="U94" t="s">
        <v>210</v>
      </c>
      <c r="V94">
        <v>28.09</v>
      </c>
      <c r="W94">
        <v>16.23</v>
      </c>
      <c r="X94">
        <v>20.6</v>
      </c>
      <c r="Y94">
        <v>14.4</v>
      </c>
      <c r="Z94">
        <v>17.399999999999999</v>
      </c>
      <c r="AA94">
        <v>9.3000000000000007</v>
      </c>
      <c r="AB94">
        <v>5.8</v>
      </c>
      <c r="AC94" s="8"/>
      <c r="AD94" s="4">
        <v>-162</v>
      </c>
      <c r="AE94" s="4">
        <v>23</v>
      </c>
      <c r="AF94" s="4">
        <v>-146.9</v>
      </c>
      <c r="AG94" s="4" t="s">
        <v>109</v>
      </c>
      <c r="AH94" s="4" t="s">
        <v>109</v>
      </c>
      <c r="AI94" s="4">
        <v>1.7</v>
      </c>
      <c r="AJ94" s="4">
        <v>0.26</v>
      </c>
      <c r="AK94" s="4">
        <v>0.92</v>
      </c>
      <c r="AL94" s="4">
        <v>20.09</v>
      </c>
      <c r="AM94" s="4">
        <v>2.4700000000000002</v>
      </c>
      <c r="AN94" s="4">
        <v>8.31</v>
      </c>
      <c r="AO94" s="4">
        <v>9.2799999999999994</v>
      </c>
    </row>
    <row r="95" spans="1:41" x14ac:dyDescent="0.2">
      <c r="A95" s="5"/>
      <c r="G95" s="5"/>
      <c r="P95" s="2"/>
      <c r="S95" s="5" t="s">
        <v>369</v>
      </c>
      <c r="T95" s="2">
        <v>0.74129976851851853</v>
      </c>
      <c r="U95" t="s">
        <v>211</v>
      </c>
      <c r="V95">
        <v>356.69</v>
      </c>
      <c r="W95">
        <v>-2.4700000000000002</v>
      </c>
      <c r="X95">
        <v>13.7</v>
      </c>
      <c r="Y95">
        <v>5.7</v>
      </c>
      <c r="Z95">
        <v>13.6</v>
      </c>
      <c r="AA95">
        <v>-0.8</v>
      </c>
      <c r="AB95">
        <v>-0.6</v>
      </c>
      <c r="AC95" s="8"/>
      <c r="AD95" s="4">
        <v>-362.4</v>
      </c>
      <c r="AE95" s="4">
        <v>3.6</v>
      </c>
      <c r="AF95" s="4">
        <v>-355</v>
      </c>
      <c r="AG95" s="4" t="s">
        <v>109</v>
      </c>
      <c r="AH95" s="4" t="s">
        <v>109</v>
      </c>
      <c r="AI95" s="4">
        <v>1.5</v>
      </c>
      <c r="AJ95" s="4">
        <v>0.5</v>
      </c>
      <c r="AK95" s="4">
        <v>1.59</v>
      </c>
      <c r="AL95" s="4">
        <v>23.1</v>
      </c>
      <c r="AM95" s="4">
        <v>2.68</v>
      </c>
      <c r="AN95" s="4">
        <v>8.7100000000000009</v>
      </c>
      <c r="AO95" s="4">
        <v>0</v>
      </c>
    </row>
    <row r="96" spans="1:41" x14ac:dyDescent="0.2">
      <c r="A96" s="5"/>
      <c r="G96" s="5"/>
      <c r="P96" s="2"/>
      <c r="S96" s="5" t="s">
        <v>370</v>
      </c>
      <c r="T96" s="2">
        <v>0.74172222222222228</v>
      </c>
      <c r="U96" t="s">
        <v>212</v>
      </c>
      <c r="V96">
        <v>3.84</v>
      </c>
      <c r="W96">
        <v>1.69</v>
      </c>
      <c r="X96">
        <v>6.9</v>
      </c>
      <c r="Y96">
        <v>1.2</v>
      </c>
      <c r="Z96">
        <v>6.9</v>
      </c>
      <c r="AA96">
        <v>0.5</v>
      </c>
      <c r="AB96">
        <v>0.2</v>
      </c>
      <c r="AC96" s="8"/>
      <c r="AD96" s="4">
        <v>-93</v>
      </c>
      <c r="AE96" s="4">
        <v>2</v>
      </c>
      <c r="AF96" s="4">
        <v>-83.5</v>
      </c>
      <c r="AG96" s="4" t="s">
        <v>109</v>
      </c>
      <c r="AH96" s="4" t="s">
        <v>109</v>
      </c>
      <c r="AI96" s="4">
        <v>1.62</v>
      </c>
      <c r="AJ96" s="4">
        <v>0.16</v>
      </c>
      <c r="AK96" s="4">
        <v>0.72</v>
      </c>
      <c r="AL96" s="4">
        <v>21.08</v>
      </c>
      <c r="AM96" s="4">
        <v>5.14</v>
      </c>
      <c r="AN96" s="4">
        <v>7.57</v>
      </c>
      <c r="AO96" s="4">
        <v>8.5299999999999994</v>
      </c>
    </row>
    <row r="97" spans="1:41" x14ac:dyDescent="0.2">
      <c r="A97" s="5"/>
      <c r="G97" s="5"/>
      <c r="P97" s="2"/>
      <c r="S97" s="5" t="s">
        <v>371</v>
      </c>
      <c r="T97" s="2">
        <v>0.74227662037037034</v>
      </c>
      <c r="U97" t="s">
        <v>213</v>
      </c>
      <c r="V97">
        <v>7.73</v>
      </c>
      <c r="W97">
        <v>3.8</v>
      </c>
      <c r="X97">
        <v>8.5</v>
      </c>
      <c r="Y97">
        <v>1.3</v>
      </c>
      <c r="Z97">
        <v>8.4</v>
      </c>
      <c r="AA97">
        <v>1.1000000000000001</v>
      </c>
      <c r="AB97">
        <v>0.6</v>
      </c>
      <c r="AC97" s="8"/>
      <c r="AD97" s="4">
        <v>-76.599999999999994</v>
      </c>
      <c r="AE97" s="4">
        <v>2.7</v>
      </c>
      <c r="AF97" s="4">
        <v>-65.900000000000006</v>
      </c>
      <c r="AG97" s="4" t="s">
        <v>109</v>
      </c>
      <c r="AH97" s="4" t="s">
        <v>109</v>
      </c>
      <c r="AI97" s="4">
        <v>1.62</v>
      </c>
      <c r="AJ97" s="4">
        <v>0.14000000000000001</v>
      </c>
      <c r="AK97" s="4">
        <v>0.48</v>
      </c>
      <c r="AL97" s="4">
        <v>17.059999999999999</v>
      </c>
      <c r="AM97" s="4">
        <v>5.24</v>
      </c>
      <c r="AN97" s="4">
        <v>7.6</v>
      </c>
      <c r="AO97" s="4">
        <v>8.6199999999999992</v>
      </c>
    </row>
    <row r="98" spans="1:41" x14ac:dyDescent="0.2">
      <c r="A98" s="5"/>
      <c r="G98" s="5"/>
      <c r="P98" s="2"/>
      <c r="S98" s="5" t="s">
        <v>372</v>
      </c>
      <c r="T98" s="2">
        <v>0.74320671296296292</v>
      </c>
      <c r="U98" t="s">
        <v>214</v>
      </c>
      <c r="V98">
        <v>353.53</v>
      </c>
      <c r="W98">
        <v>-5.01</v>
      </c>
      <c r="X98">
        <v>11.6</v>
      </c>
      <c r="Y98">
        <v>3.9</v>
      </c>
      <c r="Z98">
        <v>11.5</v>
      </c>
      <c r="AA98">
        <v>-1.3</v>
      </c>
      <c r="AB98">
        <v>-1</v>
      </c>
      <c r="AC98" s="8"/>
      <c r="AD98" s="4">
        <v>16.5</v>
      </c>
      <c r="AE98" s="4">
        <v>1</v>
      </c>
      <c r="AF98" s="4">
        <v>22.9</v>
      </c>
      <c r="AG98" s="4">
        <v>18</v>
      </c>
      <c r="AH98" s="4">
        <v>0.2</v>
      </c>
      <c r="AI98" s="4">
        <v>1.74</v>
      </c>
      <c r="AJ98" s="4">
        <v>0.13</v>
      </c>
      <c r="AK98" s="4">
        <v>0.56999999999999995</v>
      </c>
      <c r="AL98" s="4">
        <v>14.85</v>
      </c>
      <c r="AM98" s="4">
        <v>5.26</v>
      </c>
      <c r="AN98" s="4">
        <v>7.93</v>
      </c>
      <c r="AO98" s="4">
        <v>9.09</v>
      </c>
    </row>
    <row r="99" spans="1:41" x14ac:dyDescent="0.2">
      <c r="A99" s="5"/>
      <c r="G99" s="5"/>
      <c r="P99" s="2"/>
      <c r="S99" s="5" t="s">
        <v>373</v>
      </c>
      <c r="T99" s="2">
        <v>0.74359236111111104</v>
      </c>
      <c r="U99" t="s">
        <v>215</v>
      </c>
      <c r="V99">
        <v>358.57</v>
      </c>
      <c r="W99">
        <v>-2.16</v>
      </c>
      <c r="X99">
        <v>6.8</v>
      </c>
      <c r="Y99">
        <v>1.3</v>
      </c>
      <c r="Z99">
        <v>6.8</v>
      </c>
      <c r="AA99">
        <v>-0.2</v>
      </c>
      <c r="AB99">
        <v>-0.3</v>
      </c>
      <c r="AC99" s="8"/>
      <c r="AD99" s="4">
        <v>126</v>
      </c>
      <c r="AE99" s="4">
        <v>15</v>
      </c>
      <c r="AF99" s="4">
        <v>133.9</v>
      </c>
      <c r="AG99" s="4" t="s">
        <v>109</v>
      </c>
      <c r="AH99" s="4" t="s">
        <v>109</v>
      </c>
      <c r="AI99" s="4">
        <v>2.5</v>
      </c>
      <c r="AJ99" s="4">
        <v>0.05</v>
      </c>
      <c r="AK99" s="4">
        <v>0.44</v>
      </c>
      <c r="AL99" s="4">
        <v>20.76</v>
      </c>
      <c r="AM99" s="4">
        <v>5.83</v>
      </c>
      <c r="AN99" s="4">
        <v>6.46</v>
      </c>
      <c r="AO99" s="4">
        <v>8.2200000000000006</v>
      </c>
    </row>
    <row r="100" spans="1:41" x14ac:dyDescent="0.2">
      <c r="A100" s="5"/>
      <c r="G100" s="5"/>
      <c r="P100" s="2"/>
      <c r="S100" s="5" t="s">
        <v>374</v>
      </c>
      <c r="T100" s="2">
        <v>0.74365393518518519</v>
      </c>
      <c r="U100" t="s">
        <v>216</v>
      </c>
      <c r="V100">
        <v>355.72</v>
      </c>
      <c r="W100">
        <v>-3.87</v>
      </c>
      <c r="X100">
        <v>11.6</v>
      </c>
      <c r="Y100">
        <v>3.7</v>
      </c>
      <c r="Z100">
        <v>11.5</v>
      </c>
      <c r="AA100">
        <v>-0.9</v>
      </c>
      <c r="AB100">
        <v>-0.8</v>
      </c>
      <c r="AC100" s="8"/>
      <c r="AD100" s="4">
        <v>-83.7</v>
      </c>
      <c r="AE100" s="4">
        <v>8.3000000000000007</v>
      </c>
      <c r="AF100" s="4">
        <v>-76.7</v>
      </c>
      <c r="AG100" s="4" t="s">
        <v>109</v>
      </c>
      <c r="AH100" s="4" t="s">
        <v>109</v>
      </c>
      <c r="AI100" s="4">
        <v>2.5</v>
      </c>
      <c r="AJ100" s="4">
        <v>0.05</v>
      </c>
      <c r="AK100" s="4">
        <v>0.44</v>
      </c>
      <c r="AL100" s="4">
        <v>17.07</v>
      </c>
      <c r="AM100" s="4">
        <v>4.95</v>
      </c>
      <c r="AN100" s="4">
        <v>6.73</v>
      </c>
      <c r="AO100" s="4">
        <v>8.52</v>
      </c>
    </row>
    <row r="101" spans="1:41" x14ac:dyDescent="0.2">
      <c r="A101" s="5"/>
      <c r="G101" s="5"/>
      <c r="P101" s="2"/>
      <c r="S101" s="5" t="s">
        <v>375</v>
      </c>
      <c r="T101" s="2">
        <v>0.74614814814814812</v>
      </c>
      <c r="U101" t="s">
        <v>217</v>
      </c>
      <c r="V101">
        <v>5.13</v>
      </c>
      <c r="W101">
        <v>0.76</v>
      </c>
      <c r="X101">
        <v>7.8</v>
      </c>
      <c r="Y101">
        <v>0.7</v>
      </c>
      <c r="Z101">
        <v>7.8</v>
      </c>
      <c r="AA101">
        <v>0.7</v>
      </c>
      <c r="AB101">
        <v>0.1</v>
      </c>
      <c r="AC101" s="8"/>
      <c r="AD101" s="4">
        <v>57</v>
      </c>
      <c r="AE101" s="4">
        <v>6</v>
      </c>
      <c r="AF101" s="4">
        <v>66.7</v>
      </c>
      <c r="AG101" s="4" t="s">
        <v>109</v>
      </c>
      <c r="AH101" s="4" t="s">
        <v>109</v>
      </c>
      <c r="AI101" s="4">
        <v>2.1</v>
      </c>
      <c r="AJ101" s="4">
        <v>0.15</v>
      </c>
      <c r="AK101" s="4" t="s">
        <v>109</v>
      </c>
      <c r="AL101" s="4">
        <v>25.52</v>
      </c>
      <c r="AM101" s="4">
        <v>4.41</v>
      </c>
      <c r="AN101" s="4">
        <v>7.26</v>
      </c>
      <c r="AO101" s="4">
        <v>0</v>
      </c>
    </row>
    <row r="102" spans="1:41" x14ac:dyDescent="0.2">
      <c r="A102" s="5"/>
      <c r="G102" s="5"/>
      <c r="P102" s="2"/>
      <c r="S102" s="5" t="s">
        <v>376</v>
      </c>
      <c r="T102" s="2">
        <v>0.7493481481481481</v>
      </c>
      <c r="U102" t="s">
        <v>218</v>
      </c>
      <c r="V102">
        <v>348.03</v>
      </c>
      <c r="W102">
        <v>-10.01</v>
      </c>
      <c r="X102">
        <v>11.3</v>
      </c>
      <c r="Y102">
        <v>4.2</v>
      </c>
      <c r="Z102">
        <v>10.9</v>
      </c>
      <c r="AA102">
        <v>-2.2999999999999998</v>
      </c>
      <c r="AB102">
        <v>-2</v>
      </c>
      <c r="AC102" s="8"/>
      <c r="AD102" s="4">
        <v>-112.7</v>
      </c>
      <c r="AE102" s="4">
        <v>5.7</v>
      </c>
      <c r="AF102" s="4">
        <v>-108.4</v>
      </c>
      <c r="AG102" s="4" t="s">
        <v>109</v>
      </c>
      <c r="AH102" s="4" t="s">
        <v>109</v>
      </c>
      <c r="AI102" s="4">
        <v>0.7</v>
      </c>
      <c r="AJ102" s="4">
        <v>0.95</v>
      </c>
      <c r="AK102" s="4">
        <v>1.02</v>
      </c>
      <c r="AL102" s="4">
        <v>20.170000000000002</v>
      </c>
      <c r="AM102" s="4">
        <v>1.99</v>
      </c>
      <c r="AN102" s="4">
        <v>8.94</v>
      </c>
      <c r="AO102" s="4">
        <v>9.0399999999999991</v>
      </c>
    </row>
    <row r="103" spans="1:41" x14ac:dyDescent="0.2">
      <c r="A103" s="5"/>
      <c r="G103" s="5"/>
      <c r="P103" s="2"/>
      <c r="S103" s="5" t="s">
        <v>377</v>
      </c>
      <c r="T103" s="2">
        <v>0.75114351851851857</v>
      </c>
      <c r="U103" t="s">
        <v>219</v>
      </c>
      <c r="V103">
        <v>3.61</v>
      </c>
      <c r="W103">
        <v>-1.99</v>
      </c>
      <c r="X103">
        <v>7.1</v>
      </c>
      <c r="Y103">
        <v>1.1000000000000001</v>
      </c>
      <c r="Z103">
        <v>7.1</v>
      </c>
      <c r="AA103">
        <v>0.4</v>
      </c>
      <c r="AB103">
        <v>-0.2</v>
      </c>
      <c r="AC103" s="8"/>
      <c r="AD103" s="4">
        <v>59</v>
      </c>
      <c r="AE103" s="4">
        <v>10</v>
      </c>
      <c r="AF103" s="4">
        <v>68.099999999999994</v>
      </c>
      <c r="AG103" s="4" t="s">
        <v>109</v>
      </c>
      <c r="AH103" s="4" t="s">
        <v>109</v>
      </c>
      <c r="AI103" s="4">
        <v>2.5</v>
      </c>
      <c r="AJ103" s="4">
        <v>0.03</v>
      </c>
      <c r="AK103" s="4">
        <v>0.78</v>
      </c>
      <c r="AL103" s="4">
        <v>23.21</v>
      </c>
      <c r="AM103" s="4">
        <v>4.42</v>
      </c>
      <c r="AN103" s="4">
        <v>4.99</v>
      </c>
      <c r="AO103" s="4">
        <v>8</v>
      </c>
    </row>
    <row r="104" spans="1:41" x14ac:dyDescent="0.2">
      <c r="A104" s="5"/>
      <c r="G104" s="5"/>
      <c r="P104" s="2"/>
      <c r="S104" s="5" t="s">
        <v>378</v>
      </c>
      <c r="T104" s="2">
        <v>0.75126273148148148</v>
      </c>
      <c r="U104" t="s">
        <v>220</v>
      </c>
      <c r="V104">
        <v>2.77</v>
      </c>
      <c r="W104">
        <v>-2.5</v>
      </c>
      <c r="X104">
        <v>6.3</v>
      </c>
      <c r="Y104">
        <v>1.8</v>
      </c>
      <c r="Z104">
        <v>6.2</v>
      </c>
      <c r="AA104">
        <v>0.3</v>
      </c>
      <c r="AB104">
        <v>-0.3</v>
      </c>
      <c r="AC104" s="8"/>
      <c r="AD104" s="4" t="s">
        <v>109</v>
      </c>
      <c r="AE104" s="4" t="s">
        <v>109</v>
      </c>
      <c r="AF104" s="4" t="s">
        <v>109</v>
      </c>
      <c r="AG104" s="4" t="s">
        <v>109</v>
      </c>
      <c r="AH104" s="4" t="s">
        <v>109</v>
      </c>
      <c r="AI104" s="4">
        <v>1.5</v>
      </c>
      <c r="AJ104" s="4">
        <v>0.33</v>
      </c>
      <c r="AK104" s="4">
        <v>1.05</v>
      </c>
      <c r="AL104" s="4">
        <v>19.5</v>
      </c>
      <c r="AM104" s="4">
        <v>3.85</v>
      </c>
      <c r="AN104" s="4">
        <v>7.73</v>
      </c>
      <c r="AO104" s="4">
        <v>0</v>
      </c>
    </row>
    <row r="105" spans="1:41" x14ac:dyDescent="0.2">
      <c r="A105" s="5"/>
      <c r="G105" s="5"/>
      <c r="P105" s="2"/>
      <c r="S105" s="5" t="s">
        <v>379</v>
      </c>
      <c r="T105" s="2">
        <v>0.75127916666666661</v>
      </c>
      <c r="U105" t="s">
        <v>221</v>
      </c>
      <c r="V105">
        <v>19.23</v>
      </c>
      <c r="W105">
        <v>6.76</v>
      </c>
      <c r="X105">
        <v>10.6</v>
      </c>
      <c r="Y105">
        <v>4.2</v>
      </c>
      <c r="Z105">
        <v>10</v>
      </c>
      <c r="AA105">
        <v>3.5</v>
      </c>
      <c r="AB105">
        <v>1.3</v>
      </c>
      <c r="AC105" s="8"/>
      <c r="AD105" s="4">
        <v>-39.6</v>
      </c>
      <c r="AE105" s="4">
        <v>8</v>
      </c>
      <c r="AF105" s="4">
        <v>-26.5</v>
      </c>
      <c r="AG105" s="4" t="s">
        <v>109</v>
      </c>
      <c r="AH105" s="4" t="s">
        <v>109</v>
      </c>
      <c r="AI105" s="4">
        <v>1.82</v>
      </c>
      <c r="AJ105" s="4">
        <v>0.06</v>
      </c>
      <c r="AK105" s="4">
        <v>0.5</v>
      </c>
      <c r="AL105" s="4">
        <v>17.559999999999999</v>
      </c>
      <c r="AM105" s="4">
        <v>5.29</v>
      </c>
      <c r="AN105" s="4">
        <v>6.92</v>
      </c>
      <c r="AO105" s="4">
        <v>8.7200000000000006</v>
      </c>
    </row>
    <row r="106" spans="1:41" x14ac:dyDescent="0.2">
      <c r="A106" s="5"/>
      <c r="G106" s="5"/>
      <c r="P106" s="2"/>
      <c r="S106" s="5" t="s">
        <v>380</v>
      </c>
      <c r="T106" s="2">
        <v>0.75250462962962961</v>
      </c>
      <c r="U106" t="s">
        <v>222</v>
      </c>
      <c r="V106">
        <v>4.49</v>
      </c>
      <c r="W106">
        <v>-1.99</v>
      </c>
      <c r="X106">
        <v>5.8</v>
      </c>
      <c r="Y106">
        <v>2.2999999999999998</v>
      </c>
      <c r="Z106">
        <v>5.8</v>
      </c>
      <c r="AA106">
        <v>0.5</v>
      </c>
      <c r="AB106">
        <v>-0.2</v>
      </c>
      <c r="AC106" s="8"/>
      <c r="AD106" s="4" t="s">
        <v>109</v>
      </c>
      <c r="AE106" s="4" t="s">
        <v>109</v>
      </c>
      <c r="AF106" s="4" t="s">
        <v>109</v>
      </c>
      <c r="AG106" s="4" t="s">
        <v>109</v>
      </c>
      <c r="AH106" s="4" t="s">
        <v>109</v>
      </c>
      <c r="AI106" s="4">
        <v>0.75</v>
      </c>
      <c r="AJ106" s="4">
        <v>0.9</v>
      </c>
      <c r="AK106" s="4">
        <v>1.55</v>
      </c>
      <c r="AL106" s="4">
        <v>21.28</v>
      </c>
      <c r="AM106" s="4">
        <v>4.6399999999999997</v>
      </c>
      <c r="AN106" s="4">
        <v>9.34</v>
      </c>
      <c r="AO106" s="4">
        <v>8.74</v>
      </c>
    </row>
    <row r="107" spans="1:41" x14ac:dyDescent="0.2">
      <c r="A107" s="5"/>
      <c r="G107" s="5"/>
      <c r="P107" s="2"/>
      <c r="S107" s="5" t="s">
        <v>381</v>
      </c>
      <c r="T107" s="2">
        <v>0.7524770833333333</v>
      </c>
      <c r="U107" t="s">
        <v>223</v>
      </c>
      <c r="V107">
        <v>1.02</v>
      </c>
      <c r="W107">
        <v>-3.93</v>
      </c>
      <c r="X107">
        <v>7.7</v>
      </c>
      <c r="Y107">
        <v>0.6</v>
      </c>
      <c r="Z107">
        <v>7.7</v>
      </c>
      <c r="AA107">
        <v>0.1</v>
      </c>
      <c r="AB107">
        <v>-0.5</v>
      </c>
      <c r="AC107" s="8"/>
      <c r="AD107" s="4">
        <v>-21.1</v>
      </c>
      <c r="AE107" s="4">
        <v>3.4</v>
      </c>
      <c r="AF107" s="4">
        <v>-12.9</v>
      </c>
      <c r="AG107" s="4">
        <v>6.7</v>
      </c>
      <c r="AH107" s="4">
        <v>0.7</v>
      </c>
      <c r="AI107" s="4">
        <v>2.5</v>
      </c>
      <c r="AJ107" s="4">
        <v>0.05</v>
      </c>
      <c r="AK107" s="4">
        <v>1</v>
      </c>
      <c r="AL107" s="4">
        <v>15.75</v>
      </c>
      <c r="AM107" s="4">
        <v>5.48</v>
      </c>
      <c r="AN107" s="4">
        <v>6.38</v>
      </c>
      <c r="AO107" s="4">
        <v>8.86</v>
      </c>
    </row>
    <row r="108" spans="1:41" x14ac:dyDescent="0.2">
      <c r="A108" s="5"/>
      <c r="G108" s="5"/>
      <c r="P108" s="2"/>
      <c r="S108" s="5" t="s">
        <v>382</v>
      </c>
      <c r="T108" s="2">
        <v>0.75266793981481483</v>
      </c>
      <c r="U108" t="s">
        <v>224</v>
      </c>
      <c r="V108">
        <v>27.18</v>
      </c>
      <c r="W108">
        <v>10.44</v>
      </c>
      <c r="X108">
        <v>6.8</v>
      </c>
      <c r="Y108">
        <v>3.9</v>
      </c>
      <c r="Z108">
        <v>6</v>
      </c>
      <c r="AA108">
        <v>3.1</v>
      </c>
      <c r="AB108">
        <v>1.2</v>
      </c>
      <c r="AC108" s="8"/>
      <c r="AD108" s="4">
        <v>-215.1</v>
      </c>
      <c r="AE108" s="4">
        <v>0.5</v>
      </c>
      <c r="AF108" s="4">
        <v>-200.4</v>
      </c>
      <c r="AG108" s="4">
        <v>2.4</v>
      </c>
      <c r="AH108" s="4">
        <v>0.5</v>
      </c>
      <c r="AI108" s="4">
        <v>1.33</v>
      </c>
      <c r="AJ108" s="4">
        <v>0.36</v>
      </c>
      <c r="AK108" s="4">
        <v>0.85</v>
      </c>
      <c r="AL108" s="4">
        <v>21.26</v>
      </c>
      <c r="AM108" s="4">
        <v>2.34</v>
      </c>
      <c r="AN108" s="4">
        <v>7.28</v>
      </c>
      <c r="AO108" s="4">
        <v>8.1999999999999993</v>
      </c>
    </row>
    <row r="109" spans="1:41" x14ac:dyDescent="0.2">
      <c r="A109" s="5"/>
      <c r="G109" s="5"/>
      <c r="P109" s="2"/>
      <c r="S109" s="5" t="s">
        <v>383</v>
      </c>
      <c r="T109" s="2">
        <v>0.75335231481481479</v>
      </c>
      <c r="U109" t="s">
        <v>225</v>
      </c>
      <c r="V109">
        <v>1.1399999999999999</v>
      </c>
      <c r="W109">
        <v>-4.17</v>
      </c>
      <c r="X109">
        <v>7.9</v>
      </c>
      <c r="Y109">
        <v>0.6</v>
      </c>
      <c r="Z109">
        <v>7.9</v>
      </c>
      <c r="AA109">
        <v>0.2</v>
      </c>
      <c r="AB109">
        <v>-0.6</v>
      </c>
      <c r="AC109" s="8"/>
      <c r="AD109" s="4">
        <v>206.6</v>
      </c>
      <c r="AE109" s="4">
        <v>1.4</v>
      </c>
      <c r="AF109" s="4">
        <v>214.9</v>
      </c>
      <c r="AG109" s="4" t="s">
        <v>109</v>
      </c>
      <c r="AH109" s="4" t="s">
        <v>109</v>
      </c>
      <c r="AI109" s="4">
        <v>1.5</v>
      </c>
      <c r="AJ109" s="4">
        <v>0.13</v>
      </c>
      <c r="AK109" s="4">
        <v>0.38</v>
      </c>
      <c r="AL109" s="4">
        <v>16.73</v>
      </c>
      <c r="AM109" s="4">
        <v>4.7699999999999996</v>
      </c>
      <c r="AN109" s="4">
        <v>7.28</v>
      </c>
      <c r="AO109" s="4">
        <v>8.06</v>
      </c>
    </row>
    <row r="110" spans="1:41" x14ac:dyDescent="0.2">
      <c r="A110" s="5"/>
      <c r="G110" s="5"/>
      <c r="P110" s="2"/>
      <c r="S110" s="5" t="s">
        <v>384</v>
      </c>
      <c r="T110" s="2">
        <v>0.75335277777777776</v>
      </c>
      <c r="U110" t="s">
        <v>226</v>
      </c>
      <c r="V110">
        <v>20.8</v>
      </c>
      <c r="W110">
        <v>6.78</v>
      </c>
      <c r="X110">
        <v>7.8</v>
      </c>
      <c r="Y110">
        <v>3</v>
      </c>
      <c r="Z110">
        <v>7.2</v>
      </c>
      <c r="AA110">
        <v>2.8</v>
      </c>
      <c r="AB110">
        <v>0.9</v>
      </c>
      <c r="AC110" s="8"/>
      <c r="AD110" s="4">
        <v>31</v>
      </c>
      <c r="AE110" s="4">
        <v>1.7</v>
      </c>
      <c r="AF110" s="4">
        <v>44.4</v>
      </c>
      <c r="AG110" s="4" t="s">
        <v>109</v>
      </c>
      <c r="AH110" s="4" t="s">
        <v>109</v>
      </c>
      <c r="AI110" s="4">
        <v>1.74</v>
      </c>
      <c r="AJ110" s="4">
        <v>0.38</v>
      </c>
      <c r="AK110" s="4">
        <v>1.7</v>
      </c>
      <c r="AL110" s="4">
        <v>18.579999999999998</v>
      </c>
      <c r="AM110" s="4">
        <v>4.1500000000000004</v>
      </c>
      <c r="AN110" s="4">
        <v>8.31</v>
      </c>
      <c r="AO110" s="4">
        <v>9.32</v>
      </c>
    </row>
    <row r="111" spans="1:41" x14ac:dyDescent="0.2">
      <c r="A111" s="5"/>
      <c r="G111" s="5"/>
      <c r="P111" s="2"/>
      <c r="S111" s="5" t="s">
        <v>385</v>
      </c>
      <c r="T111" s="2">
        <v>0.75426620370370367</v>
      </c>
      <c r="U111" t="s">
        <v>227</v>
      </c>
      <c r="V111">
        <v>3.29</v>
      </c>
      <c r="W111">
        <v>-3.31</v>
      </c>
      <c r="X111">
        <v>5.3</v>
      </c>
      <c r="Y111">
        <v>2.8</v>
      </c>
      <c r="Z111">
        <v>5.2</v>
      </c>
      <c r="AA111">
        <v>0.3</v>
      </c>
      <c r="AB111">
        <v>-0.3</v>
      </c>
      <c r="AC111" s="8"/>
      <c r="AD111" s="4">
        <v>-17.7</v>
      </c>
      <c r="AE111" s="4">
        <v>1.4</v>
      </c>
      <c r="AF111" s="4">
        <v>-8.8000000000000007</v>
      </c>
      <c r="AG111" s="4" t="s">
        <v>109</v>
      </c>
      <c r="AH111" s="4" t="s">
        <v>109</v>
      </c>
      <c r="AI111" s="4">
        <v>2.5</v>
      </c>
      <c r="AJ111" s="4">
        <v>0.03</v>
      </c>
      <c r="AK111" s="4" t="s">
        <v>109</v>
      </c>
      <c r="AL111" s="4">
        <v>16.399999999999999</v>
      </c>
      <c r="AM111" s="4">
        <v>5.85</v>
      </c>
      <c r="AN111" s="4">
        <v>5.4</v>
      </c>
      <c r="AO111" s="4">
        <v>0</v>
      </c>
    </row>
    <row r="112" spans="1:41" x14ac:dyDescent="0.2">
      <c r="A112" s="5"/>
      <c r="G112" s="5"/>
      <c r="P112" s="2"/>
      <c r="S112" s="5" t="s">
        <v>386</v>
      </c>
      <c r="T112" s="2">
        <v>0.7550993055555556</v>
      </c>
      <c r="U112" t="s">
        <v>228</v>
      </c>
      <c r="V112">
        <v>5.84</v>
      </c>
      <c r="W112">
        <v>-2.2000000000000002</v>
      </c>
      <c r="X112">
        <v>3</v>
      </c>
      <c r="Y112">
        <v>5.0999999999999996</v>
      </c>
      <c r="Z112">
        <v>2.9</v>
      </c>
      <c r="AA112">
        <v>0.3</v>
      </c>
      <c r="AB112">
        <v>-0.1</v>
      </c>
      <c r="AC112" s="8"/>
      <c r="AD112" s="4">
        <v>-27.3</v>
      </c>
      <c r="AE112" s="4">
        <v>3.9</v>
      </c>
      <c r="AF112" s="4">
        <v>-17.7</v>
      </c>
      <c r="AG112" s="4" t="s">
        <v>109</v>
      </c>
      <c r="AH112" s="4" t="s">
        <v>109</v>
      </c>
      <c r="AI112" s="4">
        <v>1.63</v>
      </c>
      <c r="AJ112" s="4">
        <v>0.05</v>
      </c>
      <c r="AK112" s="4">
        <v>1.21</v>
      </c>
      <c r="AL112" s="4">
        <v>16.309999999999999</v>
      </c>
      <c r="AM112" s="4">
        <v>6.06</v>
      </c>
      <c r="AN112" s="4">
        <v>5.35</v>
      </c>
      <c r="AO112" s="4">
        <v>8.24</v>
      </c>
    </row>
    <row r="113" spans="1:41" x14ac:dyDescent="0.2">
      <c r="A113" s="5"/>
      <c r="G113" s="5"/>
      <c r="P113" s="2"/>
      <c r="S113" s="5" t="s">
        <v>387</v>
      </c>
      <c r="T113" s="2">
        <v>0.75558287037037042</v>
      </c>
      <c r="U113" t="s">
        <v>229</v>
      </c>
      <c r="V113">
        <v>349.29</v>
      </c>
      <c r="W113">
        <v>-11.19</v>
      </c>
      <c r="X113">
        <v>7.5</v>
      </c>
      <c r="Y113">
        <v>2.1</v>
      </c>
      <c r="Z113">
        <v>7.3</v>
      </c>
      <c r="AA113">
        <v>-1.4</v>
      </c>
      <c r="AB113">
        <v>-1.5</v>
      </c>
      <c r="AC113" s="8"/>
      <c r="AD113" s="4">
        <v>-158.69999999999999</v>
      </c>
      <c r="AE113" s="4">
        <v>2.2999999999999998</v>
      </c>
      <c r="AF113" s="4">
        <v>-154.19999999999999</v>
      </c>
      <c r="AG113" s="4">
        <v>8.1999999999999993</v>
      </c>
      <c r="AH113" s="4">
        <v>2.1</v>
      </c>
      <c r="AI113" s="4">
        <v>1.86</v>
      </c>
      <c r="AJ113" s="4">
        <v>0.18</v>
      </c>
      <c r="AK113" s="4">
        <v>1.06</v>
      </c>
      <c r="AL113" s="4">
        <v>15.44</v>
      </c>
      <c r="AM113" s="4">
        <v>4.6500000000000004</v>
      </c>
      <c r="AN113" s="4">
        <v>7.55</v>
      </c>
      <c r="AO113" s="4">
        <v>9.0299999999999994</v>
      </c>
    </row>
    <row r="114" spans="1:41" x14ac:dyDescent="0.2">
      <c r="A114" s="5"/>
      <c r="G114" s="5"/>
      <c r="P114" s="2"/>
      <c r="S114" s="5" t="s">
        <v>388</v>
      </c>
      <c r="T114" s="2">
        <v>0.75580798611111111</v>
      </c>
      <c r="U114" t="s">
        <v>230</v>
      </c>
      <c r="V114">
        <v>10.48</v>
      </c>
      <c r="W114">
        <v>0.11</v>
      </c>
      <c r="X114">
        <v>3.6</v>
      </c>
      <c r="Y114">
        <v>4.5</v>
      </c>
      <c r="Z114">
        <v>3.5</v>
      </c>
      <c r="AA114">
        <v>0.7</v>
      </c>
      <c r="AB114">
        <v>0</v>
      </c>
      <c r="AC114" s="8"/>
      <c r="AD114" s="4" t="s">
        <v>109</v>
      </c>
      <c r="AE114" s="4" t="s">
        <v>109</v>
      </c>
      <c r="AF114" s="4" t="s">
        <v>109</v>
      </c>
      <c r="AG114" s="4" t="s">
        <v>109</v>
      </c>
      <c r="AH114" s="4" t="s">
        <v>109</v>
      </c>
      <c r="AI114" s="4">
        <v>0.85</v>
      </c>
      <c r="AJ114" s="4">
        <v>0.85</v>
      </c>
      <c r="AK114" s="4">
        <v>1.65</v>
      </c>
      <c r="AL114" s="4" t="s">
        <v>109</v>
      </c>
      <c r="AM114" s="4" t="s">
        <v>109</v>
      </c>
      <c r="AN114" s="4" t="s">
        <v>109</v>
      </c>
      <c r="AO114" s="4">
        <v>8.43</v>
      </c>
    </row>
    <row r="115" spans="1:41" x14ac:dyDescent="0.2">
      <c r="A115" s="5"/>
      <c r="G115" s="5"/>
      <c r="P115" s="2"/>
      <c r="S115" s="5" t="s">
        <v>389</v>
      </c>
      <c r="T115" s="2">
        <v>0.75631944444444443</v>
      </c>
      <c r="U115" t="s">
        <v>231</v>
      </c>
      <c r="V115">
        <v>346.9</v>
      </c>
      <c r="W115">
        <v>-12.57</v>
      </c>
      <c r="X115">
        <v>21.4</v>
      </c>
      <c r="Y115">
        <v>14</v>
      </c>
      <c r="Z115">
        <v>20.399999999999999</v>
      </c>
      <c r="AA115">
        <v>-4.7</v>
      </c>
      <c r="AB115">
        <v>-4.7</v>
      </c>
      <c r="AC115" s="8"/>
      <c r="AD115" s="4" t="s">
        <v>109</v>
      </c>
      <c r="AE115" s="4" t="s">
        <v>109</v>
      </c>
      <c r="AF115" s="4" t="s">
        <v>109</v>
      </c>
      <c r="AG115" s="4" t="s">
        <v>109</v>
      </c>
      <c r="AH115" s="4" t="s">
        <v>109</v>
      </c>
      <c r="AI115" s="4">
        <v>0.9</v>
      </c>
      <c r="AJ115" s="4">
        <v>0.6</v>
      </c>
      <c r="AK115" s="4">
        <v>1.05</v>
      </c>
      <c r="AL115" s="4" t="s">
        <v>109</v>
      </c>
      <c r="AM115" s="4" t="s">
        <v>109</v>
      </c>
      <c r="AN115" s="4" t="s">
        <v>109</v>
      </c>
      <c r="AO115" s="4">
        <v>9.1</v>
      </c>
    </row>
    <row r="116" spans="1:41" x14ac:dyDescent="0.2">
      <c r="A116" s="5"/>
      <c r="G116" s="5"/>
      <c r="P116" s="2"/>
      <c r="S116" s="5" t="s">
        <v>390</v>
      </c>
      <c r="T116" s="2">
        <v>0.75645370370370368</v>
      </c>
      <c r="U116" t="s">
        <v>232</v>
      </c>
      <c r="V116">
        <v>5.26</v>
      </c>
      <c r="W116">
        <v>-3.03</v>
      </c>
      <c r="X116">
        <v>6</v>
      </c>
      <c r="Y116">
        <v>2.2000000000000002</v>
      </c>
      <c r="Z116">
        <v>5.9</v>
      </c>
      <c r="AA116">
        <v>0.5</v>
      </c>
      <c r="AB116">
        <v>-0.3</v>
      </c>
      <c r="AC116" s="8"/>
      <c r="AD116" s="4">
        <v>-3.2</v>
      </c>
      <c r="AE116" s="4">
        <v>1.5</v>
      </c>
      <c r="AF116" s="4">
        <v>6.1</v>
      </c>
      <c r="AG116" s="4" t="s">
        <v>109</v>
      </c>
      <c r="AH116" s="4" t="s">
        <v>109</v>
      </c>
      <c r="AI116" s="4">
        <v>1.1599999999999999</v>
      </c>
      <c r="AJ116" s="4">
        <v>0.53</v>
      </c>
      <c r="AK116" s="4">
        <v>1.03</v>
      </c>
      <c r="AL116" s="4">
        <v>18.170000000000002</v>
      </c>
      <c r="AM116" s="4">
        <v>3.84</v>
      </c>
      <c r="AN116" s="4">
        <v>8.24</v>
      </c>
      <c r="AO116" s="4">
        <v>8.7200000000000006</v>
      </c>
    </row>
    <row r="117" spans="1:41" x14ac:dyDescent="0.2">
      <c r="A117" s="5"/>
      <c r="G117" s="5"/>
      <c r="P117" s="2"/>
      <c r="S117" s="5" t="s">
        <v>391</v>
      </c>
      <c r="T117" s="2">
        <v>0.75667245370370373</v>
      </c>
      <c r="U117" t="s">
        <v>233</v>
      </c>
      <c r="V117">
        <v>9.7899999999999991</v>
      </c>
      <c r="W117">
        <v>-0.61</v>
      </c>
      <c r="X117">
        <v>4.9000000000000004</v>
      </c>
      <c r="Y117">
        <v>3.2</v>
      </c>
      <c r="Z117">
        <v>4.9000000000000004</v>
      </c>
      <c r="AA117">
        <v>0.8</v>
      </c>
      <c r="AB117">
        <v>-0.1</v>
      </c>
      <c r="AC117" s="8"/>
      <c r="AD117" s="4">
        <v>-238</v>
      </c>
      <c r="AE117" s="4">
        <v>36</v>
      </c>
      <c r="AF117" s="4">
        <v>-227.4</v>
      </c>
      <c r="AG117" s="4" t="s">
        <v>109</v>
      </c>
      <c r="AH117" s="4" t="s">
        <v>109</v>
      </c>
      <c r="AI117" s="4">
        <v>0.95</v>
      </c>
      <c r="AJ117" s="4">
        <v>0.55000000000000004</v>
      </c>
      <c r="AK117" s="4">
        <v>0.55000000000000004</v>
      </c>
      <c r="AL117" s="4" t="s">
        <v>109</v>
      </c>
      <c r="AM117" s="4" t="s">
        <v>109</v>
      </c>
      <c r="AN117" s="4" t="s">
        <v>109</v>
      </c>
      <c r="AO117" s="4">
        <v>7.72</v>
      </c>
    </row>
    <row r="118" spans="1:41" x14ac:dyDescent="0.2">
      <c r="A118" s="5"/>
      <c r="G118" s="5"/>
      <c r="P118" s="2"/>
      <c r="S118" s="5" t="s">
        <v>392</v>
      </c>
      <c r="T118" s="2">
        <v>0.75714814814814813</v>
      </c>
      <c r="U118" t="s">
        <v>234</v>
      </c>
      <c r="V118">
        <v>0.2</v>
      </c>
      <c r="W118">
        <v>-6.02</v>
      </c>
      <c r="X118">
        <v>7.4</v>
      </c>
      <c r="Y118">
        <v>1</v>
      </c>
      <c r="Z118">
        <v>7.3</v>
      </c>
      <c r="AA118">
        <v>0</v>
      </c>
      <c r="AB118">
        <v>-0.8</v>
      </c>
      <c r="AC118" s="8"/>
      <c r="AD118" s="4">
        <v>-197.2</v>
      </c>
      <c r="AE118" s="4">
        <v>1.5</v>
      </c>
      <c r="AF118" s="4">
        <v>-189.4</v>
      </c>
      <c r="AG118" s="4">
        <v>3.1</v>
      </c>
      <c r="AH118" s="4">
        <v>0.9</v>
      </c>
      <c r="AI118" s="4">
        <v>2.5</v>
      </c>
      <c r="AJ118" s="4">
        <v>0.03</v>
      </c>
      <c r="AK118" s="4">
        <v>2.15</v>
      </c>
      <c r="AL118" s="4">
        <v>16.48</v>
      </c>
      <c r="AM118" s="4">
        <v>5.35</v>
      </c>
      <c r="AN118" s="4">
        <v>5.71</v>
      </c>
      <c r="AO118" s="4">
        <v>9.1199999999999992</v>
      </c>
    </row>
    <row r="119" spans="1:41" x14ac:dyDescent="0.2">
      <c r="A119" s="5"/>
      <c r="G119" s="5"/>
      <c r="P119" s="2"/>
      <c r="S119" s="5" t="s">
        <v>393</v>
      </c>
      <c r="T119" s="2">
        <v>0.75745601851851851</v>
      </c>
      <c r="U119" t="s">
        <v>235</v>
      </c>
      <c r="V119">
        <v>21.83</v>
      </c>
      <c r="W119">
        <v>5.67</v>
      </c>
      <c r="X119">
        <v>5.4</v>
      </c>
      <c r="Y119">
        <v>3.7</v>
      </c>
      <c r="Z119">
        <v>5</v>
      </c>
      <c r="AA119">
        <v>2</v>
      </c>
      <c r="AB119">
        <v>0.5</v>
      </c>
      <c r="AC119" s="8"/>
      <c r="AD119" s="4">
        <v>155.69999999999999</v>
      </c>
      <c r="AE119" s="4">
        <v>1.3</v>
      </c>
      <c r="AF119" s="4">
        <v>169.2</v>
      </c>
      <c r="AG119" s="4" t="s">
        <v>109</v>
      </c>
      <c r="AH119" s="4" t="s">
        <v>109</v>
      </c>
      <c r="AI119" s="4">
        <v>1.33</v>
      </c>
      <c r="AJ119" s="4">
        <v>1.01</v>
      </c>
      <c r="AK119" s="4">
        <v>2.38</v>
      </c>
      <c r="AL119" s="4">
        <v>21.6</v>
      </c>
      <c r="AM119" s="4">
        <v>2.78</v>
      </c>
      <c r="AN119" s="4">
        <v>8.4600000000000009</v>
      </c>
      <c r="AO119" s="4">
        <v>9.0299999999999994</v>
      </c>
    </row>
    <row r="120" spans="1:41" x14ac:dyDescent="0.2">
      <c r="A120" s="5"/>
      <c r="G120" s="5"/>
      <c r="P120" s="2"/>
      <c r="S120" s="5" t="s">
        <v>394</v>
      </c>
      <c r="T120" s="2">
        <v>0.75851620370370376</v>
      </c>
      <c r="U120" t="s">
        <v>236</v>
      </c>
      <c r="V120">
        <v>8.3699999999999992</v>
      </c>
      <c r="W120">
        <v>-2.1</v>
      </c>
      <c r="X120">
        <v>4.8</v>
      </c>
      <c r="Y120">
        <v>3.4</v>
      </c>
      <c r="Z120">
        <v>4.7</v>
      </c>
      <c r="AA120">
        <v>0.7</v>
      </c>
      <c r="AB120">
        <v>-0.2</v>
      </c>
      <c r="AC120" s="8"/>
      <c r="AD120" s="4">
        <v>94.1</v>
      </c>
      <c r="AE120" s="4">
        <v>1.5</v>
      </c>
      <c r="AF120" s="4">
        <v>104.2</v>
      </c>
      <c r="AG120" s="4" t="s">
        <v>109</v>
      </c>
      <c r="AH120" s="4" t="s">
        <v>109</v>
      </c>
      <c r="AI120" s="4">
        <v>0.56999999999999995</v>
      </c>
      <c r="AJ120" s="4">
        <v>0.83</v>
      </c>
      <c r="AK120" s="4">
        <v>0.75</v>
      </c>
      <c r="AL120" s="4">
        <v>23.75</v>
      </c>
      <c r="AM120" s="4">
        <v>3.4</v>
      </c>
      <c r="AN120" s="4">
        <v>8.4600000000000009</v>
      </c>
      <c r="AO120" s="4">
        <v>7.78</v>
      </c>
    </row>
    <row r="121" spans="1:41" x14ac:dyDescent="0.2">
      <c r="A121" s="5"/>
      <c r="G121" s="5"/>
      <c r="P121" s="2"/>
      <c r="S121" s="5" t="s">
        <v>395</v>
      </c>
      <c r="T121" s="2">
        <v>0.75947685185185188</v>
      </c>
      <c r="U121" t="s">
        <v>237</v>
      </c>
      <c r="V121">
        <v>0.48</v>
      </c>
      <c r="W121">
        <v>-6.68</v>
      </c>
      <c r="X121">
        <v>10.9</v>
      </c>
      <c r="Y121">
        <v>3.1</v>
      </c>
      <c r="Z121">
        <v>10.8</v>
      </c>
      <c r="AA121">
        <v>0.1</v>
      </c>
      <c r="AB121">
        <v>-1.3</v>
      </c>
      <c r="AC121" s="8"/>
      <c r="AD121" s="4">
        <v>-28.1</v>
      </c>
      <c r="AE121" s="4">
        <v>5.6</v>
      </c>
      <c r="AF121" s="4">
        <v>-20.3</v>
      </c>
      <c r="AG121" s="4" t="s">
        <v>109</v>
      </c>
      <c r="AH121" s="4" t="s">
        <v>109</v>
      </c>
      <c r="AI121" s="4">
        <v>1.31</v>
      </c>
      <c r="AJ121" s="4">
        <v>0.35</v>
      </c>
      <c r="AK121" s="4">
        <v>0.8</v>
      </c>
      <c r="AL121" s="4">
        <v>18.149999999999999</v>
      </c>
      <c r="AM121" s="4">
        <v>3.63</v>
      </c>
      <c r="AN121" s="4">
        <v>8.3800000000000008</v>
      </c>
      <c r="AO121" s="4">
        <v>9.0500000000000007</v>
      </c>
    </row>
    <row r="122" spans="1:41" x14ac:dyDescent="0.2">
      <c r="A122" s="5"/>
      <c r="G122" s="5"/>
      <c r="P122" s="2"/>
      <c r="S122" s="5" t="s">
        <v>396</v>
      </c>
      <c r="T122" s="2">
        <v>0.75979861111111113</v>
      </c>
      <c r="U122" t="s">
        <v>238</v>
      </c>
      <c r="V122">
        <v>3.36</v>
      </c>
      <c r="W122">
        <v>-5.27</v>
      </c>
      <c r="X122">
        <v>6.5</v>
      </c>
      <c r="Y122">
        <v>1.7</v>
      </c>
      <c r="Z122">
        <v>6.5</v>
      </c>
      <c r="AA122">
        <v>0.4</v>
      </c>
      <c r="AB122">
        <v>-0.6</v>
      </c>
      <c r="AC122" s="8"/>
      <c r="AD122" s="4" t="s">
        <v>109</v>
      </c>
      <c r="AE122" s="4" t="s">
        <v>109</v>
      </c>
      <c r="AF122" s="4" t="s">
        <v>109</v>
      </c>
      <c r="AG122" s="4" t="s">
        <v>109</v>
      </c>
      <c r="AH122" s="4" t="s">
        <v>109</v>
      </c>
      <c r="AI122" s="4">
        <v>1</v>
      </c>
      <c r="AJ122" s="4">
        <v>0.4</v>
      </c>
      <c r="AK122" s="4">
        <v>0.55000000000000004</v>
      </c>
      <c r="AL122" s="4" t="s">
        <v>109</v>
      </c>
      <c r="AM122" s="4" t="s">
        <v>109</v>
      </c>
      <c r="AN122" s="4" t="s">
        <v>109</v>
      </c>
      <c r="AO122" s="4">
        <v>7.8</v>
      </c>
    </row>
    <row r="123" spans="1:41" x14ac:dyDescent="0.2">
      <c r="A123" s="5"/>
      <c r="G123" s="5"/>
      <c r="P123" s="2"/>
      <c r="S123" s="5" t="s">
        <v>397</v>
      </c>
      <c r="T123" s="2">
        <v>0.76285300925925925</v>
      </c>
      <c r="U123" t="s">
        <v>239</v>
      </c>
      <c r="V123">
        <v>14.14</v>
      </c>
      <c r="W123">
        <v>-0.64</v>
      </c>
      <c r="X123">
        <v>5.5</v>
      </c>
      <c r="Y123">
        <v>3</v>
      </c>
      <c r="Z123">
        <v>5.4</v>
      </c>
      <c r="AA123">
        <v>1.4</v>
      </c>
      <c r="AB123">
        <v>-0.1</v>
      </c>
      <c r="AC123" s="8"/>
      <c r="AD123" s="4" t="s">
        <v>109</v>
      </c>
      <c r="AE123" s="4" t="s">
        <v>109</v>
      </c>
      <c r="AF123" s="4" t="s">
        <v>109</v>
      </c>
      <c r="AG123" s="4" t="s">
        <v>109</v>
      </c>
      <c r="AH123" s="4" t="s">
        <v>109</v>
      </c>
      <c r="AI123" s="4">
        <v>1.33</v>
      </c>
      <c r="AJ123" s="4">
        <v>0.7</v>
      </c>
      <c r="AK123" s="4" t="s">
        <v>109</v>
      </c>
      <c r="AL123" s="4" t="s">
        <v>109</v>
      </c>
      <c r="AM123" s="4" t="s">
        <v>109</v>
      </c>
      <c r="AN123" s="4" t="s">
        <v>109</v>
      </c>
      <c r="AO123" s="4" t="s">
        <v>109</v>
      </c>
    </row>
    <row r="124" spans="1:41" x14ac:dyDescent="0.2">
      <c r="A124" s="5"/>
      <c r="G124" s="5"/>
      <c r="P124" s="2"/>
      <c r="S124" s="5" t="s">
        <v>398</v>
      </c>
      <c r="T124" s="2">
        <v>0.76293518518518522</v>
      </c>
      <c r="U124" t="s">
        <v>240</v>
      </c>
      <c r="V124">
        <v>342.14</v>
      </c>
      <c r="W124">
        <v>-16.41</v>
      </c>
      <c r="X124">
        <v>13.5</v>
      </c>
      <c r="Y124">
        <v>7</v>
      </c>
      <c r="Z124">
        <v>12.3</v>
      </c>
      <c r="AA124">
        <v>-4</v>
      </c>
      <c r="AB124">
        <v>-3.8</v>
      </c>
      <c r="AC124" s="8"/>
      <c r="AD124" s="4">
        <v>222.9</v>
      </c>
      <c r="AE124" s="4">
        <v>15</v>
      </c>
      <c r="AF124" s="4">
        <v>224.9</v>
      </c>
      <c r="AG124" s="4" t="s">
        <v>109</v>
      </c>
      <c r="AH124" s="4" t="s">
        <v>109</v>
      </c>
      <c r="AI124" s="4">
        <v>1.47</v>
      </c>
      <c r="AJ124" s="4">
        <v>0.26</v>
      </c>
      <c r="AK124" s="4">
        <v>0.73</v>
      </c>
      <c r="AL124" s="4">
        <v>17.63</v>
      </c>
      <c r="AM124" s="4">
        <v>3.33</v>
      </c>
      <c r="AN124" s="4">
        <v>8.1300000000000008</v>
      </c>
      <c r="AO124" s="4">
        <v>9.02</v>
      </c>
    </row>
    <row r="125" spans="1:41" x14ac:dyDescent="0.2">
      <c r="A125" s="5"/>
      <c r="G125" s="5"/>
      <c r="P125" s="2"/>
      <c r="S125" s="5" t="s">
        <v>399</v>
      </c>
      <c r="T125" s="2">
        <v>0.76644108796296295</v>
      </c>
      <c r="U125" t="s">
        <v>241</v>
      </c>
      <c r="V125">
        <v>2.79</v>
      </c>
      <c r="W125">
        <v>-7.91</v>
      </c>
      <c r="X125">
        <v>7.9</v>
      </c>
      <c r="Y125">
        <v>1.2</v>
      </c>
      <c r="Z125">
        <v>7.8</v>
      </c>
      <c r="AA125">
        <v>0.4</v>
      </c>
      <c r="AB125">
        <v>-1.1000000000000001</v>
      </c>
      <c r="AC125" s="8"/>
      <c r="AD125" s="4">
        <v>53.9</v>
      </c>
      <c r="AE125" s="4">
        <v>0.6</v>
      </c>
      <c r="AF125" s="4">
        <v>62.1</v>
      </c>
      <c r="AG125" s="4">
        <v>5.4</v>
      </c>
      <c r="AH125" s="4">
        <v>0.5</v>
      </c>
      <c r="AI125" s="4">
        <v>2.5</v>
      </c>
      <c r="AJ125" s="4">
        <v>0.06</v>
      </c>
      <c r="AK125" s="4">
        <v>0.82</v>
      </c>
      <c r="AL125" s="4">
        <v>15.32</v>
      </c>
      <c r="AM125" s="4">
        <v>5.3</v>
      </c>
      <c r="AN125" s="4">
        <v>6.61</v>
      </c>
      <c r="AO125" s="4">
        <v>8.7100000000000009</v>
      </c>
    </row>
    <row r="126" spans="1:41" x14ac:dyDescent="0.2">
      <c r="A126" s="5"/>
      <c r="G126" s="5"/>
      <c r="P126" s="2"/>
      <c r="S126" s="5" t="s">
        <v>400</v>
      </c>
      <c r="T126" s="2">
        <v>0.76704641203703705</v>
      </c>
      <c r="U126" t="s">
        <v>242</v>
      </c>
      <c r="V126">
        <v>7.8</v>
      </c>
      <c r="W126">
        <v>-5.58</v>
      </c>
      <c r="X126">
        <v>5.5</v>
      </c>
      <c r="Y126">
        <v>2.7</v>
      </c>
      <c r="Z126">
        <v>5.4</v>
      </c>
      <c r="AA126">
        <v>0.7</v>
      </c>
      <c r="AB126">
        <v>-0.5</v>
      </c>
      <c r="AC126" s="8"/>
      <c r="AD126" s="4">
        <v>17</v>
      </c>
      <c r="AE126" s="4">
        <v>1</v>
      </c>
      <c r="AF126" s="4">
        <v>26.6</v>
      </c>
      <c r="AG126" s="4">
        <v>8.6</v>
      </c>
      <c r="AH126" s="4">
        <v>1.3</v>
      </c>
      <c r="AI126" s="4">
        <v>1.67</v>
      </c>
      <c r="AJ126" s="4">
        <v>0.24</v>
      </c>
      <c r="AK126" s="4">
        <v>1.97</v>
      </c>
      <c r="AL126" s="4">
        <v>15.77</v>
      </c>
      <c r="AM126" s="4">
        <v>4.8600000000000003</v>
      </c>
      <c r="AN126" s="4">
        <v>7.62</v>
      </c>
      <c r="AO126" s="4">
        <v>9.17</v>
      </c>
    </row>
    <row r="127" spans="1:41" x14ac:dyDescent="0.2">
      <c r="A127" s="5"/>
      <c r="G127" s="5"/>
      <c r="P127" s="2"/>
      <c r="S127" s="5" t="s">
        <v>401</v>
      </c>
      <c r="T127" s="2">
        <v>0.77148263888888891</v>
      </c>
      <c r="U127" t="s">
        <v>243</v>
      </c>
      <c r="V127">
        <v>7.9</v>
      </c>
      <c r="W127">
        <v>-7.15</v>
      </c>
      <c r="X127">
        <v>9.4</v>
      </c>
      <c r="Y127">
        <v>2.2000000000000002</v>
      </c>
      <c r="Z127">
        <v>9.3000000000000007</v>
      </c>
      <c r="AA127">
        <v>1.3</v>
      </c>
      <c r="AB127">
        <v>-1.2</v>
      </c>
      <c r="AC127" s="8"/>
      <c r="AD127" s="4">
        <v>18.100000000000001</v>
      </c>
      <c r="AE127" s="4">
        <v>3.9</v>
      </c>
      <c r="AF127" s="4">
        <v>27.5</v>
      </c>
      <c r="AG127" s="4" t="s">
        <v>109</v>
      </c>
      <c r="AH127" s="4" t="s">
        <v>109</v>
      </c>
      <c r="AI127" s="4">
        <v>1.33</v>
      </c>
      <c r="AJ127" s="4">
        <v>0.22</v>
      </c>
      <c r="AK127" s="4">
        <v>0.51</v>
      </c>
      <c r="AL127" s="4">
        <v>17.3</v>
      </c>
      <c r="AM127" s="4">
        <v>4.09</v>
      </c>
      <c r="AN127" s="4">
        <v>7.83</v>
      </c>
      <c r="AO127" s="4">
        <v>8.4600000000000009</v>
      </c>
    </row>
    <row r="128" spans="1:41" x14ac:dyDescent="0.2">
      <c r="A128" s="5"/>
      <c r="G128" s="5"/>
      <c r="P128" s="2"/>
      <c r="S128" s="5" t="s">
        <v>402</v>
      </c>
      <c r="T128" s="2">
        <v>0.77179513888888895</v>
      </c>
      <c r="U128" t="s">
        <v>244</v>
      </c>
      <c r="V128">
        <v>1.72</v>
      </c>
      <c r="W128">
        <v>-10.27</v>
      </c>
      <c r="X128">
        <v>8.8000000000000007</v>
      </c>
      <c r="Y128">
        <v>1.7</v>
      </c>
      <c r="Z128">
        <v>8.6</v>
      </c>
      <c r="AA128">
        <v>0.3</v>
      </c>
      <c r="AB128">
        <v>-1.6</v>
      </c>
      <c r="AC128" s="8"/>
      <c r="AD128" s="4">
        <v>39.9</v>
      </c>
      <c r="AE128" s="4">
        <v>2.8</v>
      </c>
      <c r="AF128" s="4">
        <v>47.5</v>
      </c>
      <c r="AG128" s="4" t="s">
        <v>109</v>
      </c>
      <c r="AH128" s="4" t="s">
        <v>109</v>
      </c>
      <c r="AI128" s="4">
        <v>1.38</v>
      </c>
      <c r="AJ128" s="4">
        <v>0.33</v>
      </c>
      <c r="AK128" s="4">
        <v>0.84</v>
      </c>
      <c r="AL128" s="4">
        <v>16.82</v>
      </c>
      <c r="AM128" s="4">
        <v>3.84</v>
      </c>
      <c r="AN128" s="4">
        <v>8.15</v>
      </c>
      <c r="AO128" s="4">
        <v>8.82</v>
      </c>
    </row>
    <row r="129" spans="1:41" x14ac:dyDescent="0.2">
      <c r="A129" s="5"/>
      <c r="G129" s="5"/>
      <c r="P129" s="2"/>
      <c r="S129" s="5" t="s">
        <v>403</v>
      </c>
      <c r="T129" s="2">
        <v>0.77215393518518527</v>
      </c>
      <c r="U129" t="s">
        <v>245</v>
      </c>
      <c r="V129">
        <v>9.81</v>
      </c>
      <c r="W129">
        <v>-6.44</v>
      </c>
      <c r="X129">
        <v>8.1</v>
      </c>
      <c r="Y129">
        <v>1.7</v>
      </c>
      <c r="Z129">
        <v>8</v>
      </c>
      <c r="AA129">
        <v>1.4</v>
      </c>
      <c r="AB129">
        <v>-0.9</v>
      </c>
      <c r="AC129" s="8"/>
      <c r="AD129" s="4">
        <v>-57.2</v>
      </c>
      <c r="AE129" s="4">
        <v>5.4</v>
      </c>
      <c r="AF129" s="4">
        <v>-47.3</v>
      </c>
      <c r="AG129" s="4" t="s">
        <v>109</v>
      </c>
      <c r="AH129" s="4" t="s">
        <v>109</v>
      </c>
      <c r="AI129" s="4">
        <v>1.99</v>
      </c>
      <c r="AJ129" s="4">
        <v>0.1</v>
      </c>
      <c r="AK129" s="4">
        <v>0.73</v>
      </c>
      <c r="AL129" s="4">
        <v>16.82</v>
      </c>
      <c r="AM129" s="4">
        <v>4.6399999999999997</v>
      </c>
      <c r="AN129" s="4">
        <v>6.95</v>
      </c>
      <c r="AO129" s="4">
        <v>8.52</v>
      </c>
    </row>
    <row r="130" spans="1:41" x14ac:dyDescent="0.2">
      <c r="A130" s="5"/>
      <c r="G130" s="5"/>
      <c r="P130" s="2"/>
      <c r="S130" s="5" t="s">
        <v>404</v>
      </c>
      <c r="T130" s="2">
        <v>0.77483368055555557</v>
      </c>
      <c r="U130" t="s">
        <v>246</v>
      </c>
      <c r="V130">
        <v>1.53</v>
      </c>
      <c r="W130">
        <v>-11.38</v>
      </c>
      <c r="X130">
        <v>10</v>
      </c>
      <c r="Y130">
        <v>2.7</v>
      </c>
      <c r="Z130">
        <v>9.8000000000000007</v>
      </c>
      <c r="AA130">
        <v>0.3</v>
      </c>
      <c r="AB130">
        <v>-2</v>
      </c>
      <c r="AC130" s="8"/>
      <c r="AD130" s="4">
        <v>-111.7</v>
      </c>
      <c r="AE130" s="4">
        <v>5.8</v>
      </c>
      <c r="AF130" s="4">
        <v>-104.3</v>
      </c>
      <c r="AG130" s="4" t="s">
        <v>109</v>
      </c>
      <c r="AH130" s="4" t="s">
        <v>109</v>
      </c>
      <c r="AI130" s="4">
        <v>1.8</v>
      </c>
      <c r="AJ130" s="4">
        <v>0.1</v>
      </c>
      <c r="AK130" s="4">
        <v>0.48</v>
      </c>
      <c r="AL130" s="4">
        <v>16.100000000000001</v>
      </c>
      <c r="AM130" s="4">
        <v>4.4800000000000004</v>
      </c>
      <c r="AN130" s="4">
        <v>7.05</v>
      </c>
      <c r="AO130" s="4">
        <v>8.39</v>
      </c>
    </row>
    <row r="131" spans="1:41" x14ac:dyDescent="0.2">
      <c r="A131" s="5"/>
      <c r="G131" s="5"/>
      <c r="P131" s="2"/>
      <c r="S131" s="5" t="s">
        <v>405</v>
      </c>
      <c r="T131" s="2">
        <v>0.77527708333333334</v>
      </c>
      <c r="U131" t="s">
        <v>247</v>
      </c>
      <c r="V131">
        <v>9.89</v>
      </c>
      <c r="W131">
        <v>-7.55</v>
      </c>
      <c r="X131">
        <v>3.2</v>
      </c>
      <c r="Y131">
        <v>4.9000000000000004</v>
      </c>
      <c r="Z131">
        <v>3.2</v>
      </c>
      <c r="AA131">
        <v>0.6</v>
      </c>
      <c r="AB131">
        <v>-0.4</v>
      </c>
      <c r="AC131" s="8"/>
      <c r="AD131" s="4">
        <v>-146.30000000000001</v>
      </c>
      <c r="AE131" s="4">
        <v>0.2</v>
      </c>
      <c r="AF131" s="4">
        <v>-136.6</v>
      </c>
      <c r="AG131" s="4">
        <v>7.8</v>
      </c>
      <c r="AH131" s="4">
        <v>0.3</v>
      </c>
      <c r="AI131" s="4">
        <v>1.38</v>
      </c>
      <c r="AJ131" s="4">
        <v>1.33</v>
      </c>
      <c r="AK131" s="4">
        <v>3.36</v>
      </c>
      <c r="AL131" s="4">
        <v>17.420000000000002</v>
      </c>
      <c r="AM131" s="4">
        <v>3.63</v>
      </c>
      <c r="AN131" s="4">
        <v>8.5299999999999994</v>
      </c>
      <c r="AO131" s="4">
        <v>9.23</v>
      </c>
    </row>
    <row r="132" spans="1:41" x14ac:dyDescent="0.2">
      <c r="A132" s="5"/>
      <c r="G132" s="5"/>
      <c r="P132" s="2"/>
      <c r="S132" s="5" t="s">
        <v>406</v>
      </c>
      <c r="T132" s="2">
        <v>0.77881828703703693</v>
      </c>
      <c r="U132" t="s">
        <v>248</v>
      </c>
      <c r="V132">
        <v>14.11</v>
      </c>
      <c r="W132">
        <v>-6.79</v>
      </c>
      <c r="X132">
        <v>12.8</v>
      </c>
      <c r="Y132">
        <v>5.5</v>
      </c>
      <c r="Z132">
        <v>12.3</v>
      </c>
      <c r="AA132">
        <v>3.1</v>
      </c>
      <c r="AB132">
        <v>-1.5</v>
      </c>
      <c r="AC132" s="8"/>
      <c r="AD132" s="4">
        <v>-43</v>
      </c>
      <c r="AE132" s="4">
        <v>15</v>
      </c>
      <c r="AF132" s="4">
        <v>-32.299999999999997</v>
      </c>
      <c r="AG132" s="4" t="s">
        <v>109</v>
      </c>
      <c r="AH132" s="4" t="s">
        <v>109</v>
      </c>
      <c r="AI132" s="4">
        <v>1.53</v>
      </c>
      <c r="AJ132" s="4">
        <v>0.56000000000000005</v>
      </c>
      <c r="AK132" s="4">
        <v>0.57999999999999996</v>
      </c>
      <c r="AL132" s="4">
        <v>20</v>
      </c>
      <c r="AM132" s="4">
        <v>2.34</v>
      </c>
      <c r="AN132" s="4">
        <v>8.65</v>
      </c>
      <c r="AO132" s="4">
        <v>8.4700000000000006</v>
      </c>
    </row>
    <row r="133" spans="1:41" x14ac:dyDescent="0.2">
      <c r="A133" s="5"/>
      <c r="G133" s="5"/>
      <c r="P133" s="2"/>
      <c r="S133" s="5" t="s">
        <v>407</v>
      </c>
      <c r="T133" s="2">
        <v>0.78000879629629627</v>
      </c>
      <c r="U133" t="s">
        <v>249</v>
      </c>
      <c r="V133">
        <v>2.85</v>
      </c>
      <c r="W133">
        <v>-12.51</v>
      </c>
      <c r="X133">
        <v>9</v>
      </c>
      <c r="Y133">
        <v>2.2000000000000002</v>
      </c>
      <c r="Z133">
        <v>8.8000000000000007</v>
      </c>
      <c r="AA133">
        <v>0.4</v>
      </c>
      <c r="AB133">
        <v>-2</v>
      </c>
      <c r="AC133" s="8"/>
      <c r="AD133" s="4">
        <v>220.3</v>
      </c>
      <c r="AE133" s="4">
        <v>0.9</v>
      </c>
      <c r="AF133" s="4">
        <v>227.8</v>
      </c>
      <c r="AG133" s="4">
        <v>5.2</v>
      </c>
      <c r="AH133" s="4">
        <v>0.5</v>
      </c>
      <c r="AI133" s="4">
        <v>2.5</v>
      </c>
      <c r="AJ133" s="4">
        <v>0.03</v>
      </c>
      <c r="AK133" s="4">
        <v>0.71</v>
      </c>
      <c r="AL133" s="4">
        <v>14.25</v>
      </c>
      <c r="AM133" s="4">
        <v>5.82</v>
      </c>
      <c r="AN133" s="4">
        <v>5.82</v>
      </c>
      <c r="AO133" s="4">
        <v>8.65</v>
      </c>
    </row>
    <row r="134" spans="1:41" x14ac:dyDescent="0.2">
      <c r="A134" s="5"/>
      <c r="G134" s="5"/>
      <c r="P134" s="2"/>
      <c r="S134" s="5" t="s">
        <v>408</v>
      </c>
      <c r="T134" s="2">
        <v>0.78390856481481475</v>
      </c>
      <c r="U134" t="s">
        <v>250</v>
      </c>
      <c r="V134">
        <v>31.31</v>
      </c>
      <c r="W134">
        <v>-0.1</v>
      </c>
      <c r="X134">
        <v>4.2</v>
      </c>
      <c r="Y134">
        <v>4.9000000000000004</v>
      </c>
      <c r="Z134">
        <v>3.6</v>
      </c>
      <c r="AA134">
        <v>2.2000000000000002</v>
      </c>
      <c r="AB134">
        <v>0</v>
      </c>
      <c r="AC134" s="8"/>
      <c r="AD134" s="4" t="s">
        <v>109</v>
      </c>
      <c r="AE134" s="4" t="s">
        <v>109</v>
      </c>
      <c r="AF134" s="4" t="s">
        <v>109</v>
      </c>
      <c r="AG134" s="4" t="s">
        <v>109</v>
      </c>
      <c r="AH134" s="4" t="s">
        <v>109</v>
      </c>
      <c r="AI134" s="4">
        <v>1.37</v>
      </c>
      <c r="AJ134" s="4">
        <v>0.59</v>
      </c>
      <c r="AK134" s="4">
        <v>0.65</v>
      </c>
      <c r="AL134" s="4" t="s">
        <v>109</v>
      </c>
      <c r="AM134" s="4" t="s">
        <v>109</v>
      </c>
      <c r="AN134" s="4" t="s">
        <v>109</v>
      </c>
      <c r="AO134" s="4">
        <v>7.89</v>
      </c>
    </row>
    <row r="135" spans="1:41" x14ac:dyDescent="0.2">
      <c r="A135" s="5"/>
      <c r="G135" s="5"/>
      <c r="P135" s="2"/>
      <c r="S135" s="5" t="s">
        <v>409</v>
      </c>
      <c r="T135" s="2">
        <v>0.7868553240740741</v>
      </c>
      <c r="U135" t="s">
        <v>251</v>
      </c>
      <c r="V135">
        <v>25.35</v>
      </c>
      <c r="W135">
        <v>-4.32</v>
      </c>
      <c r="X135">
        <v>6.9</v>
      </c>
      <c r="Y135">
        <v>3.5</v>
      </c>
      <c r="Z135">
        <v>6.3</v>
      </c>
      <c r="AA135">
        <v>3</v>
      </c>
      <c r="AB135">
        <v>-0.5</v>
      </c>
      <c r="AC135" s="8"/>
      <c r="AD135" s="4">
        <v>-107.6</v>
      </c>
      <c r="AE135" s="4">
        <v>0.5</v>
      </c>
      <c r="AF135" s="4">
        <v>-94.7</v>
      </c>
      <c r="AG135" s="4">
        <v>4.3</v>
      </c>
      <c r="AH135" s="4">
        <v>0.4</v>
      </c>
      <c r="AI135" s="4">
        <v>1.05</v>
      </c>
      <c r="AJ135" s="4">
        <v>0.76</v>
      </c>
      <c r="AK135" s="4">
        <v>1.33</v>
      </c>
      <c r="AL135" s="4">
        <v>18.739999999999998</v>
      </c>
      <c r="AM135" s="4">
        <v>3.18</v>
      </c>
      <c r="AN135" s="4">
        <v>8.6</v>
      </c>
      <c r="AO135" s="4">
        <v>8.9499999999999993</v>
      </c>
    </row>
    <row r="136" spans="1:41" x14ac:dyDescent="0.2">
      <c r="A136" s="5"/>
      <c r="G136" s="5"/>
      <c r="P136" s="2"/>
      <c r="S136" s="5" t="s">
        <v>410</v>
      </c>
      <c r="T136" s="2">
        <v>0.78823298611111114</v>
      </c>
      <c r="U136" t="s">
        <v>252</v>
      </c>
      <c r="V136">
        <v>5.61</v>
      </c>
      <c r="W136">
        <v>-14.09</v>
      </c>
      <c r="X136">
        <v>26.5</v>
      </c>
      <c r="Y136">
        <v>18.899999999999999</v>
      </c>
      <c r="Z136">
        <v>25.6</v>
      </c>
      <c r="AA136">
        <v>2.5</v>
      </c>
      <c r="AB136">
        <v>-6.5</v>
      </c>
      <c r="AC136" s="8"/>
      <c r="AD136" s="4">
        <v>141.30000000000001</v>
      </c>
      <c r="AE136" s="4">
        <v>0.3</v>
      </c>
      <c r="AF136" s="4">
        <v>149.19999999999999</v>
      </c>
      <c r="AG136" s="4">
        <v>10.5</v>
      </c>
      <c r="AH136" s="4">
        <v>0.3</v>
      </c>
      <c r="AI136" s="4">
        <v>2.04</v>
      </c>
      <c r="AJ136" s="4">
        <v>0.09</v>
      </c>
      <c r="AK136" s="4">
        <v>0.82</v>
      </c>
      <c r="AL136" s="4">
        <v>14.78</v>
      </c>
      <c r="AM136" s="4">
        <v>4.6900000000000004</v>
      </c>
      <c r="AN136" s="4">
        <v>8.24</v>
      </c>
      <c r="AO136" s="4">
        <v>9.93</v>
      </c>
    </row>
    <row r="137" spans="1:41" x14ac:dyDescent="0.2">
      <c r="A137" s="5"/>
      <c r="G137" s="5"/>
      <c r="P137" s="2"/>
      <c r="S137" s="5" t="s">
        <v>411</v>
      </c>
      <c r="T137" s="2">
        <v>0.78826435185185173</v>
      </c>
      <c r="U137" t="s">
        <v>253</v>
      </c>
      <c r="V137">
        <v>12.88</v>
      </c>
      <c r="W137">
        <v>-10.9</v>
      </c>
      <c r="X137">
        <v>7.1</v>
      </c>
      <c r="Y137">
        <v>2.4</v>
      </c>
      <c r="Z137">
        <v>6.8</v>
      </c>
      <c r="AA137">
        <v>1.6</v>
      </c>
      <c r="AB137">
        <v>-1.3</v>
      </c>
      <c r="AC137" s="8"/>
      <c r="AD137" s="4">
        <v>22.8</v>
      </c>
      <c r="AE137" s="4">
        <v>3.4</v>
      </c>
      <c r="AF137" s="4">
        <v>32.700000000000003</v>
      </c>
      <c r="AG137" s="4" t="s">
        <v>109</v>
      </c>
      <c r="AH137" s="4" t="s">
        <v>109</v>
      </c>
      <c r="AI137" s="4">
        <v>2.0699999999999998</v>
      </c>
      <c r="AJ137" s="4">
        <v>0.08</v>
      </c>
      <c r="AK137" s="4">
        <v>0.68</v>
      </c>
      <c r="AL137" s="4">
        <v>16.77</v>
      </c>
      <c r="AM137" s="4">
        <v>4.58</v>
      </c>
      <c r="AN137" s="4">
        <v>6.52</v>
      </c>
      <c r="AO137" s="4">
        <v>8.2200000000000006</v>
      </c>
    </row>
    <row r="138" spans="1:41" x14ac:dyDescent="0.2">
      <c r="A138" s="5"/>
      <c r="G138" s="5"/>
      <c r="P138" s="2"/>
      <c r="S138" s="5" t="s">
        <v>412</v>
      </c>
      <c r="T138" s="2">
        <v>0.79135590277777768</v>
      </c>
      <c r="U138" t="s">
        <v>254</v>
      </c>
      <c r="V138">
        <v>7.0000000000000007E-2</v>
      </c>
      <c r="W138">
        <v>-17.3</v>
      </c>
      <c r="X138">
        <v>8.6999999999999993</v>
      </c>
      <c r="Y138">
        <v>2.6</v>
      </c>
      <c r="Z138">
        <v>8.3000000000000007</v>
      </c>
      <c r="AA138">
        <v>0</v>
      </c>
      <c r="AB138">
        <v>-2.6</v>
      </c>
      <c r="AC138" s="8"/>
      <c r="AD138" s="4">
        <v>-94.5</v>
      </c>
      <c r="AE138" s="4">
        <v>3.6</v>
      </c>
      <c r="AF138" s="4">
        <v>-88.3</v>
      </c>
      <c r="AG138" s="4" t="s">
        <v>109</v>
      </c>
      <c r="AH138" s="4" t="s">
        <v>109</v>
      </c>
      <c r="AI138" s="4">
        <v>1.1100000000000001</v>
      </c>
      <c r="AJ138" s="4">
        <v>0.83</v>
      </c>
      <c r="AK138" s="4">
        <v>1.53</v>
      </c>
      <c r="AL138" s="4">
        <v>18.13</v>
      </c>
      <c r="AM138" s="4">
        <v>2.79</v>
      </c>
      <c r="AN138" s="4">
        <v>8.7899999999999991</v>
      </c>
      <c r="AO138" s="4">
        <v>9.24</v>
      </c>
    </row>
    <row r="139" spans="1:41" x14ac:dyDescent="0.2">
      <c r="A139" s="5"/>
      <c r="G139" s="5"/>
      <c r="P139" s="2"/>
      <c r="S139" s="5" t="s">
        <v>413</v>
      </c>
      <c r="T139" s="2">
        <v>0.79531597222222228</v>
      </c>
      <c r="U139" t="s">
        <v>255</v>
      </c>
      <c r="V139">
        <v>36.200000000000003</v>
      </c>
      <c r="W139">
        <v>-2.21</v>
      </c>
      <c r="X139">
        <v>7.9</v>
      </c>
      <c r="Y139">
        <v>5</v>
      </c>
      <c r="Z139">
        <v>6.4</v>
      </c>
      <c r="AA139">
        <v>4.7</v>
      </c>
      <c r="AB139">
        <v>-0.3</v>
      </c>
      <c r="AC139" s="8"/>
      <c r="AD139" s="4">
        <v>-61.7</v>
      </c>
      <c r="AE139" s="4">
        <v>2.9</v>
      </c>
      <c r="AF139" s="4">
        <v>-47.2</v>
      </c>
      <c r="AG139" s="4" t="s">
        <v>109</v>
      </c>
      <c r="AH139" s="4" t="s">
        <v>109</v>
      </c>
      <c r="AI139" s="4">
        <v>0.79</v>
      </c>
      <c r="AJ139" s="4">
        <v>0.62</v>
      </c>
      <c r="AK139" s="4">
        <v>1.1000000000000001</v>
      </c>
      <c r="AL139" s="4">
        <v>21.88</v>
      </c>
      <c r="AM139" s="4">
        <v>3.3</v>
      </c>
      <c r="AN139" s="4">
        <v>8.59</v>
      </c>
      <c r="AO139" s="4">
        <v>8.7799999999999994</v>
      </c>
    </row>
    <row r="140" spans="1:41" x14ac:dyDescent="0.2">
      <c r="A140" s="5"/>
      <c r="G140" s="5"/>
      <c r="P140" s="2"/>
      <c r="S140" s="5" t="s">
        <v>414</v>
      </c>
      <c r="T140" s="2">
        <v>0.79921423611111109</v>
      </c>
      <c r="U140" t="s">
        <v>256</v>
      </c>
      <c r="V140">
        <v>336.49</v>
      </c>
      <c r="W140">
        <v>-25.63</v>
      </c>
      <c r="X140">
        <v>4</v>
      </c>
      <c r="Y140">
        <v>5.2</v>
      </c>
      <c r="Z140">
        <v>3.3</v>
      </c>
      <c r="AA140">
        <v>-1.4</v>
      </c>
      <c r="AB140">
        <v>-1.7</v>
      </c>
      <c r="AC140" s="8"/>
      <c r="AD140" s="4">
        <v>-26.7</v>
      </c>
      <c r="AE140" s="4">
        <v>0.2</v>
      </c>
      <c r="AF140" s="4">
        <v>-27.3</v>
      </c>
      <c r="AG140" s="4">
        <v>4.9000000000000004</v>
      </c>
      <c r="AH140" s="4">
        <v>0.4</v>
      </c>
      <c r="AI140" s="4">
        <v>2.5</v>
      </c>
      <c r="AJ140" s="4">
        <v>0.17</v>
      </c>
      <c r="AK140" s="4">
        <v>1.91</v>
      </c>
      <c r="AL140" s="4">
        <v>14.88</v>
      </c>
      <c r="AM140" s="4">
        <v>5.04</v>
      </c>
      <c r="AN140" s="4">
        <v>6.88</v>
      </c>
      <c r="AO140" s="4">
        <v>8.8699999999999992</v>
      </c>
    </row>
    <row r="141" spans="1:41" x14ac:dyDescent="0.2">
      <c r="A141" s="5"/>
      <c r="G141" s="5"/>
      <c r="P141" s="2"/>
      <c r="S141" s="5" t="s">
        <v>415</v>
      </c>
      <c r="T141" s="2">
        <v>0.79944456018518517</v>
      </c>
      <c r="U141" t="s">
        <v>257</v>
      </c>
      <c r="V141">
        <v>36.11</v>
      </c>
      <c r="W141">
        <v>-3.92</v>
      </c>
      <c r="X141">
        <v>7.4</v>
      </c>
      <c r="Y141">
        <v>4.8</v>
      </c>
      <c r="Z141">
        <v>5.9</v>
      </c>
      <c r="AA141">
        <v>4.3</v>
      </c>
      <c r="AB141">
        <v>-0.5</v>
      </c>
      <c r="AC141" s="8"/>
      <c r="AD141" s="4">
        <v>-27.5</v>
      </c>
      <c r="AE141" s="4">
        <v>6.3</v>
      </c>
      <c r="AF141" s="4">
        <v>-13.2</v>
      </c>
      <c r="AG141" s="4" t="s">
        <v>109</v>
      </c>
      <c r="AH141" s="4" t="s">
        <v>109</v>
      </c>
      <c r="AI141" s="4">
        <v>1.65</v>
      </c>
      <c r="AJ141" s="4">
        <v>0.34</v>
      </c>
      <c r="AK141" s="4">
        <v>1.27</v>
      </c>
      <c r="AL141" s="4">
        <v>18.66</v>
      </c>
      <c r="AM141" s="4">
        <v>3.89</v>
      </c>
      <c r="AN141" s="4">
        <v>7.96</v>
      </c>
      <c r="AO141" s="4">
        <v>9.01</v>
      </c>
    </row>
    <row r="142" spans="1:41" x14ac:dyDescent="0.2">
      <c r="A142" s="5"/>
      <c r="G142" s="5"/>
      <c r="P142" s="2"/>
      <c r="S142" s="5" t="s">
        <v>416</v>
      </c>
      <c r="T142" s="2">
        <v>0.80318946759259269</v>
      </c>
      <c r="U142" t="s">
        <v>258</v>
      </c>
      <c r="V142">
        <v>62.66</v>
      </c>
      <c r="W142">
        <v>8.34</v>
      </c>
      <c r="X142">
        <v>9.4</v>
      </c>
      <c r="Y142">
        <v>9.1999999999999993</v>
      </c>
      <c r="Z142">
        <v>4.3</v>
      </c>
      <c r="AA142">
        <v>8.3000000000000007</v>
      </c>
      <c r="AB142">
        <v>1.4</v>
      </c>
      <c r="AC142" s="8"/>
      <c r="AD142" s="4">
        <v>-135.6</v>
      </c>
      <c r="AE142" s="4">
        <v>0.9</v>
      </c>
      <c r="AF142" s="4">
        <v>-119.1</v>
      </c>
      <c r="AG142" s="4">
        <v>4</v>
      </c>
      <c r="AH142" s="4">
        <v>0.6</v>
      </c>
      <c r="AI142" s="4">
        <v>1.38</v>
      </c>
      <c r="AJ142" s="4">
        <v>0.44</v>
      </c>
      <c r="AK142" s="4">
        <v>1.1000000000000001</v>
      </c>
      <c r="AL142" s="4">
        <v>18.079999999999998</v>
      </c>
      <c r="AM142" s="4">
        <v>3.28</v>
      </c>
      <c r="AN142" s="4">
        <v>8.33</v>
      </c>
      <c r="AO142" s="4">
        <v>9.01</v>
      </c>
    </row>
    <row r="143" spans="1:41" x14ac:dyDescent="0.2">
      <c r="A143" s="5"/>
      <c r="G143" s="5"/>
      <c r="P143" s="2"/>
      <c r="S143" s="5" t="s">
        <v>417</v>
      </c>
      <c r="T143" s="2">
        <v>0.80398055555555559</v>
      </c>
      <c r="U143" t="s">
        <v>259</v>
      </c>
      <c r="V143">
        <v>3.39</v>
      </c>
      <c r="W143">
        <v>-20.07</v>
      </c>
      <c r="X143">
        <v>22.8</v>
      </c>
      <c r="Y143">
        <v>15.6</v>
      </c>
      <c r="Z143">
        <v>21.4</v>
      </c>
      <c r="AA143">
        <v>1.3</v>
      </c>
      <c r="AB143">
        <v>-7.8</v>
      </c>
      <c r="AC143" s="8"/>
      <c r="AD143" s="4">
        <v>166</v>
      </c>
      <c r="AE143" s="4">
        <v>4</v>
      </c>
      <c r="AF143" s="4">
        <v>172.5</v>
      </c>
      <c r="AG143" s="4" t="s">
        <v>109</v>
      </c>
      <c r="AH143" s="4" t="s">
        <v>109</v>
      </c>
      <c r="AI143" s="4">
        <v>0.93</v>
      </c>
      <c r="AJ143" s="4">
        <v>0.49</v>
      </c>
      <c r="AK143" s="4">
        <v>0.77</v>
      </c>
      <c r="AL143" s="4">
        <v>20.66</v>
      </c>
      <c r="AM143" s="4">
        <v>1.63</v>
      </c>
      <c r="AN143" s="4">
        <v>8.89</v>
      </c>
      <c r="AO143" s="4">
        <v>8.9600000000000009</v>
      </c>
    </row>
    <row r="144" spans="1:41" x14ac:dyDescent="0.2">
      <c r="A144" s="5"/>
      <c r="G144" s="5"/>
      <c r="P144" s="2"/>
      <c r="S144" s="5" t="s">
        <v>418</v>
      </c>
      <c r="T144" s="2">
        <v>0.80419097222222224</v>
      </c>
      <c r="U144" t="s">
        <v>260</v>
      </c>
      <c r="V144">
        <v>52.43</v>
      </c>
      <c r="W144">
        <v>2.72</v>
      </c>
      <c r="X144">
        <v>5.9</v>
      </c>
      <c r="Y144">
        <v>6.4</v>
      </c>
      <c r="Z144">
        <v>3.6</v>
      </c>
      <c r="AA144">
        <v>4.7</v>
      </c>
      <c r="AB144">
        <v>0.3</v>
      </c>
      <c r="AC144" s="8"/>
      <c r="AD144" s="4">
        <v>-31.7</v>
      </c>
      <c r="AE144" s="4">
        <v>0.4</v>
      </c>
      <c r="AF144" s="4">
        <v>-15.6</v>
      </c>
      <c r="AG144" s="4" t="s">
        <v>109</v>
      </c>
      <c r="AH144" s="4" t="s">
        <v>109</v>
      </c>
      <c r="AI144" s="4">
        <v>0.57999999999999996</v>
      </c>
      <c r="AJ144" s="4">
        <v>0.81</v>
      </c>
      <c r="AK144" s="4">
        <v>0.99</v>
      </c>
      <c r="AL144" s="4">
        <v>22.03</v>
      </c>
      <c r="AM144" s="4">
        <v>3.51</v>
      </c>
      <c r="AN144" s="4">
        <v>8.69</v>
      </c>
      <c r="AO144" s="4">
        <v>8.3699999999999992</v>
      </c>
    </row>
    <row r="145" spans="1:41" x14ac:dyDescent="0.2">
      <c r="A145" s="5"/>
      <c r="G145" s="5"/>
      <c r="P145" s="2"/>
      <c r="S145" s="5" t="s">
        <v>419</v>
      </c>
      <c r="T145" s="2">
        <v>0.81162164351851851</v>
      </c>
      <c r="U145" t="s">
        <v>261</v>
      </c>
      <c r="V145">
        <v>8.5500000000000007</v>
      </c>
      <c r="W145">
        <v>-20.79</v>
      </c>
      <c r="X145">
        <v>28.6</v>
      </c>
      <c r="Y145">
        <v>21.4</v>
      </c>
      <c r="Z145">
        <v>26.4</v>
      </c>
      <c r="AA145">
        <v>4</v>
      </c>
      <c r="AB145">
        <v>-10.199999999999999</v>
      </c>
      <c r="AC145" s="8"/>
      <c r="AD145" s="4">
        <v>115</v>
      </c>
      <c r="AE145" s="4">
        <v>10</v>
      </c>
      <c r="AF145" s="4">
        <v>122.4</v>
      </c>
      <c r="AG145" s="4" t="s">
        <v>109</v>
      </c>
      <c r="AH145" s="4" t="s">
        <v>109</v>
      </c>
      <c r="AI145" s="4">
        <v>0.88</v>
      </c>
      <c r="AJ145" s="4">
        <v>1.19</v>
      </c>
      <c r="AK145" s="4">
        <v>1.77</v>
      </c>
      <c r="AL145" s="4">
        <v>24.26</v>
      </c>
      <c r="AM145" s="4">
        <v>-0.25</v>
      </c>
      <c r="AN145" s="4">
        <v>9.39</v>
      </c>
      <c r="AO145" s="4">
        <v>9.6999999999999993</v>
      </c>
    </row>
    <row r="146" spans="1:41" x14ac:dyDescent="0.2">
      <c r="A146" s="5"/>
      <c r="G146" s="5"/>
      <c r="P146" s="2"/>
      <c r="S146" s="5" t="s">
        <v>420</v>
      </c>
      <c r="T146" s="2">
        <v>0.819441087962963</v>
      </c>
      <c r="U146" t="s">
        <v>262</v>
      </c>
      <c r="V146">
        <v>8.7899999999999991</v>
      </c>
      <c r="W146">
        <v>-23.27</v>
      </c>
      <c r="X146">
        <v>5.4</v>
      </c>
      <c r="Y146">
        <v>3.9</v>
      </c>
      <c r="Z146">
        <v>4.9000000000000004</v>
      </c>
      <c r="AA146">
        <v>0.8</v>
      </c>
      <c r="AB146">
        <v>-2.1</v>
      </c>
      <c r="AC146" s="8"/>
      <c r="AD146" s="4">
        <v>174.7</v>
      </c>
      <c r="AE146" s="4">
        <v>0.3</v>
      </c>
      <c r="AF146" s="4">
        <v>181.8</v>
      </c>
      <c r="AG146" s="4">
        <v>4</v>
      </c>
      <c r="AH146" s="4">
        <v>0.3</v>
      </c>
      <c r="AI146" s="4">
        <v>0.93</v>
      </c>
      <c r="AJ146" s="4">
        <v>1.8</v>
      </c>
      <c r="AK146" s="4">
        <v>2.83</v>
      </c>
      <c r="AL146" s="4">
        <v>19.36</v>
      </c>
      <c r="AM146" s="4">
        <v>2.2200000000000002</v>
      </c>
      <c r="AN146" s="4">
        <v>8.9</v>
      </c>
      <c r="AO146" s="4">
        <v>9.2899999999999991</v>
      </c>
    </row>
    <row r="147" spans="1:41" x14ac:dyDescent="0.2">
      <c r="A147" s="5"/>
      <c r="G147" s="5"/>
      <c r="P147" s="2"/>
      <c r="S147" s="5" t="s">
        <v>421</v>
      </c>
      <c r="T147" s="2">
        <v>0.82065289351851856</v>
      </c>
      <c r="U147" t="s">
        <v>263</v>
      </c>
      <c r="V147">
        <v>5.76</v>
      </c>
      <c r="W147">
        <v>-24.56</v>
      </c>
      <c r="X147">
        <v>26.3</v>
      </c>
      <c r="Y147">
        <v>19.399999999999999</v>
      </c>
      <c r="Z147">
        <v>23.8</v>
      </c>
      <c r="AA147">
        <v>2.4</v>
      </c>
      <c r="AB147">
        <v>-10.9</v>
      </c>
      <c r="AC147" s="8"/>
      <c r="AD147" s="4">
        <v>130</v>
      </c>
      <c r="AE147" s="4">
        <v>8</v>
      </c>
      <c r="AF147" s="4">
        <v>136.19999999999999</v>
      </c>
      <c r="AG147" s="4" t="s">
        <v>109</v>
      </c>
      <c r="AH147" s="4" t="s">
        <v>109</v>
      </c>
      <c r="AI147" s="4">
        <v>0.6</v>
      </c>
      <c r="AJ147" s="4">
        <v>1</v>
      </c>
      <c r="AK147" s="4">
        <v>0.95</v>
      </c>
      <c r="AL147" s="4">
        <v>22.82</v>
      </c>
      <c r="AM147" s="4">
        <v>0.53</v>
      </c>
      <c r="AN147" s="4">
        <v>9.4600000000000009</v>
      </c>
      <c r="AO147" s="4">
        <v>9.2100000000000009</v>
      </c>
    </row>
    <row r="148" spans="1:41" x14ac:dyDescent="0.2">
      <c r="A148" s="5"/>
      <c r="G148" s="5"/>
      <c r="P148" s="2"/>
      <c r="S148" s="5" t="s">
        <v>422</v>
      </c>
      <c r="T148" s="2">
        <v>0.82308333333333328</v>
      </c>
      <c r="U148" t="s">
        <v>264</v>
      </c>
      <c r="V148">
        <v>31.81</v>
      </c>
      <c r="W148">
        <v>-15.57</v>
      </c>
      <c r="X148">
        <v>13.4</v>
      </c>
      <c r="Y148">
        <v>8.1999999999999993</v>
      </c>
      <c r="Z148">
        <v>11</v>
      </c>
      <c r="AA148">
        <v>6.8</v>
      </c>
      <c r="AB148">
        <v>-3.6</v>
      </c>
      <c r="AC148" s="8"/>
      <c r="AD148" s="4">
        <v>-68</v>
      </c>
      <c r="AE148" s="4">
        <v>10</v>
      </c>
      <c r="AF148" s="4">
        <v>-56</v>
      </c>
      <c r="AG148" s="4" t="s">
        <v>109</v>
      </c>
      <c r="AH148" s="4" t="s">
        <v>109</v>
      </c>
      <c r="AI148" s="4">
        <v>0.56999999999999995</v>
      </c>
      <c r="AJ148" s="4">
        <v>1.19</v>
      </c>
      <c r="AK148" s="4">
        <v>1.46</v>
      </c>
      <c r="AL148" s="4">
        <v>19.72</v>
      </c>
      <c r="AM148" s="4">
        <v>2.29</v>
      </c>
      <c r="AN148" s="4">
        <v>9.61</v>
      </c>
      <c r="AO148" s="4">
        <v>9.34</v>
      </c>
    </row>
    <row r="149" spans="1:41" x14ac:dyDescent="0.2">
      <c r="A149" s="5"/>
      <c r="G149" s="5"/>
      <c r="P149" s="2"/>
      <c r="S149" s="5" t="s">
        <v>423</v>
      </c>
      <c r="T149" s="2">
        <v>0.82901030092592598</v>
      </c>
      <c r="U149" t="s">
        <v>265</v>
      </c>
      <c r="V149">
        <v>56.75</v>
      </c>
      <c r="W149">
        <v>-4.5599999999999996</v>
      </c>
      <c r="X149">
        <v>4</v>
      </c>
      <c r="Y149">
        <v>6.7</v>
      </c>
      <c r="Z149">
        <v>2.2000000000000002</v>
      </c>
      <c r="AA149">
        <v>3.4</v>
      </c>
      <c r="AB149">
        <v>-0.3</v>
      </c>
      <c r="AC149" s="8"/>
      <c r="AD149" s="4">
        <v>-22.8</v>
      </c>
      <c r="AE149" s="4">
        <v>0.2</v>
      </c>
      <c r="AF149" s="4">
        <v>-7.5</v>
      </c>
      <c r="AG149" s="4">
        <v>2.2999999999999998</v>
      </c>
      <c r="AH149" s="4">
        <v>0.2</v>
      </c>
      <c r="AI149" s="4">
        <v>1.1499999999999999</v>
      </c>
      <c r="AJ149" s="4">
        <v>0.63</v>
      </c>
      <c r="AK149" s="4">
        <v>1.67</v>
      </c>
      <c r="AL149" s="4">
        <v>19.75</v>
      </c>
      <c r="AM149" s="4">
        <v>2.83</v>
      </c>
      <c r="AN149" s="4">
        <v>7.54</v>
      </c>
      <c r="AO149" s="4">
        <v>8.43</v>
      </c>
    </row>
    <row r="150" spans="1:41" x14ac:dyDescent="0.2">
      <c r="A150" s="5"/>
      <c r="G150" s="5"/>
      <c r="P150" s="2"/>
      <c r="S150" s="5" t="s">
        <v>424</v>
      </c>
      <c r="T150" s="2">
        <v>0.83755428240740748</v>
      </c>
      <c r="U150" t="s">
        <v>266</v>
      </c>
      <c r="V150">
        <v>20.3</v>
      </c>
      <c r="W150">
        <v>-25.75</v>
      </c>
      <c r="X150">
        <v>20.9</v>
      </c>
      <c r="Y150">
        <v>14.7</v>
      </c>
      <c r="Z150">
        <v>17.600000000000001</v>
      </c>
      <c r="AA150">
        <v>6.5</v>
      </c>
      <c r="AB150">
        <v>-9.1</v>
      </c>
      <c r="AC150" s="8"/>
      <c r="AD150" s="4">
        <v>-189.3</v>
      </c>
      <c r="AE150" s="4">
        <v>3.6</v>
      </c>
      <c r="AF150" s="4">
        <v>-180.8</v>
      </c>
      <c r="AG150" s="4">
        <v>10.3</v>
      </c>
      <c r="AH150" s="4">
        <v>1.5</v>
      </c>
      <c r="AI150" s="4">
        <v>1.8</v>
      </c>
      <c r="AJ150" s="4">
        <v>0.09</v>
      </c>
      <c r="AK150" s="4">
        <v>0.46</v>
      </c>
      <c r="AL150" s="4">
        <v>15.52</v>
      </c>
      <c r="AM150" s="4">
        <v>4.51</v>
      </c>
      <c r="AN150" s="4">
        <v>7.89</v>
      </c>
      <c r="AO150" s="4">
        <v>9.15</v>
      </c>
    </row>
    <row r="151" spans="1:41" x14ac:dyDescent="0.2">
      <c r="A151" s="5"/>
      <c r="G151" s="5"/>
      <c r="P151" s="2"/>
      <c r="S151" s="5" t="s">
        <v>425</v>
      </c>
      <c r="T151" s="2">
        <v>0.85707604166666662</v>
      </c>
      <c r="U151" t="s">
        <v>267</v>
      </c>
      <c r="V151">
        <v>52.1</v>
      </c>
      <c r="W151">
        <v>-18.89</v>
      </c>
      <c r="X151">
        <v>15.6</v>
      </c>
      <c r="Y151">
        <v>12.8</v>
      </c>
      <c r="Z151">
        <v>9.1</v>
      </c>
      <c r="AA151">
        <v>11.7</v>
      </c>
      <c r="AB151">
        <v>-5.0999999999999996</v>
      </c>
      <c r="AC151" s="8"/>
      <c r="AD151" s="4">
        <v>-411.4</v>
      </c>
      <c r="AE151" s="4">
        <v>1.6</v>
      </c>
      <c r="AF151" s="4">
        <v>-398.5</v>
      </c>
      <c r="AG151" s="4">
        <v>5.0999999999999996</v>
      </c>
      <c r="AH151" s="4">
        <v>1.1000000000000001</v>
      </c>
      <c r="AI151" s="4">
        <v>1.53</v>
      </c>
      <c r="AJ151" s="4">
        <v>0.22</v>
      </c>
      <c r="AK151" s="4">
        <v>0.69</v>
      </c>
      <c r="AL151" s="4">
        <v>17.350000000000001</v>
      </c>
      <c r="AM151" s="4">
        <v>3.44</v>
      </c>
      <c r="AN151" s="4">
        <v>8.1999999999999993</v>
      </c>
      <c r="AO151" s="4">
        <v>9.0399999999999991</v>
      </c>
    </row>
    <row r="152" spans="1:41" x14ac:dyDescent="0.2">
      <c r="A152" s="5"/>
      <c r="G152" s="5"/>
      <c r="P152" s="2"/>
      <c r="S152" s="5" t="s">
        <v>426</v>
      </c>
      <c r="T152" s="2">
        <v>0.87045949074074069</v>
      </c>
      <c r="U152" t="s">
        <v>268</v>
      </c>
      <c r="V152">
        <v>35.159999999999997</v>
      </c>
      <c r="W152">
        <v>-32.68</v>
      </c>
      <c r="X152">
        <v>17</v>
      </c>
      <c r="Y152">
        <v>12.9</v>
      </c>
      <c r="Z152">
        <v>11.7</v>
      </c>
      <c r="AA152">
        <v>8.3000000000000007</v>
      </c>
      <c r="AB152">
        <v>-9.1999999999999993</v>
      </c>
      <c r="AC152" s="8"/>
      <c r="AD152" s="4">
        <v>-345</v>
      </c>
      <c r="AE152" s="4">
        <v>3.7</v>
      </c>
      <c r="AF152" s="4">
        <v>-336.2</v>
      </c>
      <c r="AG152" s="4" t="s">
        <v>109</v>
      </c>
      <c r="AH152" s="4" t="s">
        <v>109</v>
      </c>
      <c r="AI152" s="4">
        <v>1.21</v>
      </c>
      <c r="AJ152" s="4">
        <v>0.46</v>
      </c>
      <c r="AK152" s="4">
        <v>0.93</v>
      </c>
      <c r="AL152" s="4">
        <v>19.02</v>
      </c>
      <c r="AM152" s="4">
        <v>2.38</v>
      </c>
      <c r="AN152" s="4">
        <v>8.7200000000000006</v>
      </c>
      <c r="AO152" s="4">
        <v>9.23</v>
      </c>
    </row>
    <row r="153" spans="1:41" x14ac:dyDescent="0.2">
      <c r="A153" s="5"/>
      <c r="G153" s="5"/>
      <c r="P153" s="2"/>
      <c r="S153" s="5" t="s">
        <v>427</v>
      </c>
      <c r="T153" s="2">
        <v>0.8760344907407408</v>
      </c>
      <c r="U153" t="s">
        <v>269</v>
      </c>
      <c r="V153">
        <v>63.77</v>
      </c>
      <c r="W153">
        <v>-19.41</v>
      </c>
      <c r="X153">
        <v>41.2</v>
      </c>
      <c r="Y153">
        <v>38.5</v>
      </c>
      <c r="Z153">
        <v>17.2</v>
      </c>
      <c r="AA153">
        <v>34.799999999999997</v>
      </c>
      <c r="AB153">
        <v>-13.7</v>
      </c>
      <c r="AC153" s="8"/>
      <c r="AD153" s="4">
        <v>-384.1</v>
      </c>
      <c r="AE153" s="4">
        <v>0.4</v>
      </c>
      <c r="AF153" s="4">
        <v>-371.3</v>
      </c>
      <c r="AG153" s="4" t="s">
        <v>109</v>
      </c>
      <c r="AH153" s="4" t="s">
        <v>109</v>
      </c>
      <c r="AI153" s="4">
        <v>1.41</v>
      </c>
      <c r="AJ153" s="4">
        <v>0.17</v>
      </c>
      <c r="AK153" s="4">
        <v>0.44</v>
      </c>
      <c r="AL153" s="4">
        <v>18.62</v>
      </c>
      <c r="AM153" s="4">
        <v>2.58</v>
      </c>
      <c r="AN153" s="4">
        <v>8.66</v>
      </c>
      <c r="AO153" s="4">
        <v>9.42</v>
      </c>
    </row>
    <row r="154" spans="1:41" x14ac:dyDescent="0.2">
      <c r="A154" s="5"/>
      <c r="G154" s="5"/>
      <c r="P154" s="2"/>
      <c r="S154" s="5" t="s">
        <v>428</v>
      </c>
      <c r="T154" s="2">
        <v>0.89581400462962968</v>
      </c>
      <c r="U154" t="s">
        <v>270</v>
      </c>
      <c r="V154">
        <v>65.010000000000005</v>
      </c>
      <c r="W154">
        <v>-27.31</v>
      </c>
      <c r="X154">
        <v>10.4</v>
      </c>
      <c r="Y154">
        <v>10.4</v>
      </c>
      <c r="Z154">
        <v>3.9</v>
      </c>
      <c r="AA154">
        <v>8.3000000000000007</v>
      </c>
      <c r="AB154">
        <v>-4.8</v>
      </c>
      <c r="AC154" s="8"/>
      <c r="AD154" s="4">
        <v>-107</v>
      </c>
      <c r="AE154" s="4">
        <v>0.2</v>
      </c>
      <c r="AF154" s="4">
        <v>-96</v>
      </c>
      <c r="AG154" s="4">
        <v>13.5</v>
      </c>
      <c r="AH154" s="4">
        <v>0.9</v>
      </c>
      <c r="AI154" s="4">
        <v>2.29</v>
      </c>
      <c r="AJ154" s="4">
        <v>0.14000000000000001</v>
      </c>
      <c r="AK154" s="4">
        <v>1</v>
      </c>
      <c r="AL154" s="4">
        <v>14.21</v>
      </c>
      <c r="AM154" s="4">
        <v>5.05</v>
      </c>
      <c r="AN154" s="4">
        <v>7.84</v>
      </c>
      <c r="AO154" s="4">
        <v>9.32</v>
      </c>
    </row>
    <row r="155" spans="1:41" x14ac:dyDescent="0.2">
      <c r="A155" s="5"/>
      <c r="G155" s="5"/>
      <c r="P155" s="2"/>
      <c r="S155" s="5" t="s">
        <v>429</v>
      </c>
      <c r="T155" s="2">
        <v>0.89822939814814817</v>
      </c>
      <c r="U155" t="s">
        <v>271</v>
      </c>
      <c r="V155">
        <v>53.37</v>
      </c>
      <c r="W155">
        <v>-35.770000000000003</v>
      </c>
      <c r="X155">
        <v>11.5</v>
      </c>
      <c r="Y155">
        <v>10.4</v>
      </c>
      <c r="Z155">
        <v>5.6</v>
      </c>
      <c r="AA155">
        <v>7.5</v>
      </c>
      <c r="AB155">
        <v>-6.7</v>
      </c>
      <c r="AC155" s="8"/>
      <c r="AD155" s="4">
        <v>-5.3</v>
      </c>
      <c r="AE155" s="4">
        <v>2</v>
      </c>
      <c r="AF155" s="4">
        <v>3.8</v>
      </c>
      <c r="AG155" s="4">
        <v>8.1999999999999993</v>
      </c>
      <c r="AH155" s="4">
        <v>0.6</v>
      </c>
      <c r="AI155" s="4">
        <v>1.59</v>
      </c>
      <c r="AJ155" s="4">
        <v>0.32</v>
      </c>
      <c r="AK155" s="4">
        <v>1.06</v>
      </c>
      <c r="AL155" s="4">
        <v>15.78</v>
      </c>
      <c r="AM155" s="4">
        <v>4</v>
      </c>
      <c r="AN155" s="4">
        <v>8.48</v>
      </c>
      <c r="AO155" s="4">
        <v>9.4</v>
      </c>
    </row>
    <row r="156" spans="1:41" x14ac:dyDescent="0.2">
      <c r="A156" s="5"/>
      <c r="G156" s="5"/>
      <c r="P156" s="2"/>
      <c r="S156" s="5" t="s">
        <v>430</v>
      </c>
      <c r="T156" s="2">
        <v>0.90303379629629621</v>
      </c>
      <c r="U156" t="s">
        <v>272</v>
      </c>
      <c r="V156">
        <v>27.18</v>
      </c>
      <c r="W156">
        <v>-46.84</v>
      </c>
      <c r="X156">
        <v>8.1</v>
      </c>
      <c r="Y156">
        <v>7.1</v>
      </c>
      <c r="Z156">
        <v>4.9000000000000004</v>
      </c>
      <c r="AA156">
        <v>2.5</v>
      </c>
      <c r="AB156">
        <v>-5.9</v>
      </c>
      <c r="AC156" s="8"/>
      <c r="AD156" s="4">
        <v>-184.2</v>
      </c>
      <c r="AE156" s="4">
        <v>0.2</v>
      </c>
      <c r="AF156" s="4">
        <v>-179.6</v>
      </c>
      <c r="AG156" s="4">
        <v>5.5</v>
      </c>
      <c r="AH156" s="4">
        <v>0.4</v>
      </c>
      <c r="AI156" s="4">
        <v>2.5</v>
      </c>
      <c r="AJ156" s="4">
        <v>0.06</v>
      </c>
      <c r="AK156" s="4">
        <v>1.03</v>
      </c>
      <c r="AL156" s="4">
        <v>15.35</v>
      </c>
      <c r="AM156" s="4">
        <v>5.01</v>
      </c>
      <c r="AN156" s="4">
        <v>6.37</v>
      </c>
      <c r="AO156" s="4">
        <v>8.8800000000000008</v>
      </c>
    </row>
    <row r="157" spans="1:41" x14ac:dyDescent="0.2">
      <c r="A157" s="5"/>
      <c r="G157" s="5"/>
      <c r="P157" s="2"/>
      <c r="S157" s="5" t="s">
        <v>431</v>
      </c>
      <c r="T157" s="2">
        <v>0.90739398148148143</v>
      </c>
      <c r="U157" t="s">
        <v>273</v>
      </c>
      <c r="V157">
        <v>30.51</v>
      </c>
      <c r="W157">
        <v>-47.68</v>
      </c>
      <c r="X157">
        <v>19</v>
      </c>
      <c r="Y157">
        <v>15.8</v>
      </c>
      <c r="Z157">
        <v>11</v>
      </c>
      <c r="AA157">
        <v>6.5</v>
      </c>
      <c r="AB157">
        <v>-14.1</v>
      </c>
      <c r="AC157" s="8"/>
      <c r="AD157" s="4">
        <v>27.8</v>
      </c>
      <c r="AE157" s="4">
        <v>1.5</v>
      </c>
      <c r="AF157" s="4">
        <v>32.5</v>
      </c>
      <c r="AG157" s="4" t="s">
        <v>109</v>
      </c>
      <c r="AH157" s="4" t="s">
        <v>109</v>
      </c>
      <c r="AI157" s="4">
        <v>2.98</v>
      </c>
      <c r="AJ157" s="4">
        <v>0.02</v>
      </c>
      <c r="AK157" s="4">
        <v>1.72</v>
      </c>
      <c r="AL157" s="4">
        <v>19.21</v>
      </c>
      <c r="AM157" s="4">
        <v>3.64</v>
      </c>
      <c r="AN157" s="4">
        <v>5.22</v>
      </c>
      <c r="AO157" s="4">
        <v>9.2799999999999994</v>
      </c>
    </row>
    <row r="158" spans="1:41" x14ac:dyDescent="0.2">
      <c r="A158" s="5"/>
      <c r="G158" s="5"/>
      <c r="P158" s="2"/>
      <c r="S158" s="5" t="s">
        <v>432</v>
      </c>
      <c r="T158" s="2">
        <v>0.96301435185185191</v>
      </c>
      <c r="U158" t="s">
        <v>274</v>
      </c>
      <c r="V158">
        <v>87.1</v>
      </c>
      <c r="W158">
        <v>-42.7</v>
      </c>
      <c r="X158">
        <v>26</v>
      </c>
      <c r="Y158">
        <v>26.9</v>
      </c>
      <c r="Z158">
        <v>1</v>
      </c>
      <c r="AA158">
        <v>19.100000000000001</v>
      </c>
      <c r="AB158">
        <v>-17.600000000000001</v>
      </c>
      <c r="AC158" s="8"/>
      <c r="AD158" s="4">
        <v>25.2</v>
      </c>
      <c r="AE158" s="4">
        <v>0.3</v>
      </c>
      <c r="AF158" s="4">
        <v>30.9</v>
      </c>
      <c r="AG158" s="4">
        <v>0.9</v>
      </c>
      <c r="AH158" s="4">
        <v>0.3</v>
      </c>
      <c r="AI158" s="4">
        <v>0.66</v>
      </c>
      <c r="AJ158" s="4">
        <v>0.48</v>
      </c>
      <c r="AK158" s="4">
        <v>0.36</v>
      </c>
      <c r="AL158" s="4">
        <v>24.31</v>
      </c>
      <c r="AM158" s="4">
        <v>0.16</v>
      </c>
      <c r="AN158" s="4">
        <v>8.36</v>
      </c>
      <c r="AO158" s="4">
        <v>8.35</v>
      </c>
    </row>
    <row r="159" spans="1:41" x14ac:dyDescent="0.2">
      <c r="A159" s="5"/>
      <c r="G159" s="5"/>
      <c r="P159" s="2"/>
      <c r="S159" s="5" t="s">
        <v>433</v>
      </c>
      <c r="T159" s="2">
        <v>0.96419710648148149</v>
      </c>
      <c r="U159" t="s">
        <v>275</v>
      </c>
      <c r="V159">
        <v>53.39</v>
      </c>
      <c r="W159">
        <v>-63.48</v>
      </c>
      <c r="X159">
        <v>26.3</v>
      </c>
      <c r="Y159">
        <v>25.3</v>
      </c>
      <c r="Z159">
        <v>7</v>
      </c>
      <c r="AA159">
        <v>9.4</v>
      </c>
      <c r="AB159">
        <v>-23.5</v>
      </c>
      <c r="AC159" s="8"/>
      <c r="AD159" s="4">
        <v>-177.5</v>
      </c>
      <c r="AE159" s="4">
        <v>0.6</v>
      </c>
      <c r="AF159" s="4">
        <v>-176.2</v>
      </c>
      <c r="AG159" s="4">
        <v>1.2</v>
      </c>
      <c r="AH159" s="4">
        <v>1</v>
      </c>
      <c r="AI159" s="4">
        <v>0.72</v>
      </c>
      <c r="AJ159" s="4">
        <v>0.86</v>
      </c>
      <c r="AK159" s="4">
        <v>1.1499999999999999</v>
      </c>
      <c r="AL159" s="4">
        <v>20.68</v>
      </c>
      <c r="AM159" s="4">
        <v>1.27</v>
      </c>
      <c r="AN159" s="4">
        <v>9.6</v>
      </c>
      <c r="AO159" s="4">
        <v>9.44</v>
      </c>
    </row>
    <row r="163" spans="15:15" x14ac:dyDescent="0.2">
      <c r="O163">
        <f>COUNTA(#REF!)</f>
        <v>1</v>
      </c>
    </row>
  </sheetData>
  <mergeCells count="4">
    <mergeCell ref="A1:F1"/>
    <mergeCell ref="G1:R1"/>
    <mergeCell ref="S1:AB1"/>
    <mergeCell ref="AD1:AO1"/>
  </mergeCells>
  <conditionalFormatting sqref="A2:AO1048576">
    <cfRule type="containsText" dxfId="0" priority="1" operator="containsText" text="NA">
      <formula>NOT(ISERROR(SEARCH("NA",A2)))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Perera</dc:creator>
  <cp:lastModifiedBy>Dhiren Perera</cp:lastModifiedBy>
  <dcterms:created xsi:type="dcterms:W3CDTF">2026-10-14T10:31:13Z</dcterms:created>
  <dcterms:modified xsi:type="dcterms:W3CDTF">2026-10-17T23:35:05Z</dcterms:modified>
</cp:coreProperties>
</file>